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codeName="ThisWorkbook" defaultThemeVersion="124226"/>
  <mc:AlternateContent xmlns:mc="http://schemas.openxmlformats.org/markup-compatibility/2006">
    <mc:Choice Requires="x15">
      <x15ac:absPath xmlns:x15ac="http://schemas.microsoft.com/office/spreadsheetml/2010/11/ac" url="Z:\群馬ー更改３\61.QA表\"/>
    </mc:Choice>
  </mc:AlternateContent>
  <xr:revisionPtr revIDLastSave="0" documentId="13_ncr:1_{B8CEC562-0150-4103-8928-B7CDF7AAC46E}" xr6:coauthVersionLast="47" xr6:coauthVersionMax="47" xr10:uidLastSave="{00000000-0000-0000-0000-000000000000}"/>
  <bookViews>
    <workbookView xWindow="28680" yWindow="-120" windowWidth="29040" windowHeight="15720" xr2:uid="{00000000-000D-0000-FFFF-FFFF00000000}"/>
  </bookViews>
  <sheets>
    <sheet name="QA管理表" sheetId="1" r:id="rId1"/>
  </sheets>
  <definedNames>
    <definedName name="_xlnm._FilterDatabase" localSheetId="0" hidden="1">QA管理表!$B$3:$O$64</definedName>
    <definedName name="_xlnm.Print_Area" localSheetId="0">QA管理表!$B$1:$M$19</definedName>
    <definedName name="_xlnm.Print_Titles" localSheetId="0">QA管理表!$1:$3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 l="1"/>
  <c r="B6" i="1" s="1"/>
  <c r="B7" i="1" s="1"/>
  <c r="B8" i="1" s="1"/>
  <c r="I1" i="1" l="1"/>
  <c r="L1" i="1" s="1"/>
</calcChain>
</file>

<file path=xl/sharedStrings.xml><?xml version="1.0" encoding="utf-8"?>
<sst xmlns="http://schemas.openxmlformats.org/spreadsheetml/2006/main" count="47" uniqueCount="36">
  <si>
    <t>回答者</t>
    <rPh sb="0" eb="2">
      <t>カイトウ</t>
    </rPh>
    <rPh sb="2" eb="3">
      <t>シャ</t>
    </rPh>
    <phoneticPr fontId="3"/>
  </si>
  <si>
    <t>質問者</t>
    <rPh sb="0" eb="3">
      <t>シツモンシャ</t>
    </rPh>
    <phoneticPr fontId="4"/>
  </si>
  <si>
    <t>残件数：</t>
  </si>
  <si>
    <t>完了後、
両社確認した課題をグレーアウト</t>
    <rPh sb="0" eb="2">
      <t>カンリョウ</t>
    </rPh>
    <rPh sb="2" eb="3">
      <t>ゴ</t>
    </rPh>
    <rPh sb="5" eb="7">
      <t>リョウシャ</t>
    </rPh>
    <rPh sb="7" eb="9">
      <t>カクニン</t>
    </rPh>
    <rPh sb="11" eb="13">
      <t>カダイ</t>
    </rPh>
    <phoneticPr fontId="4"/>
  </si>
  <si>
    <t xml:space="preserve"> </t>
    <phoneticPr fontId="4"/>
  </si>
  <si>
    <t>No</t>
  </si>
  <si>
    <t>区分</t>
    <rPh sb="0" eb="2">
      <t>クブン</t>
    </rPh>
    <phoneticPr fontId="4"/>
  </si>
  <si>
    <t>発生</t>
  </si>
  <si>
    <t>内    容</t>
    <phoneticPr fontId="4"/>
  </si>
  <si>
    <t>期限</t>
    <rPh sb="0" eb="2">
      <t>キゲン</t>
    </rPh>
    <phoneticPr fontId="4"/>
  </si>
  <si>
    <t>状況／結果</t>
    <rPh sb="0" eb="2">
      <t>ジョウキョウ</t>
    </rPh>
    <rPh sb="3" eb="4">
      <t>ケツ</t>
    </rPh>
    <rPh sb="4" eb="5">
      <t>カ</t>
    </rPh>
    <phoneticPr fontId="4"/>
  </si>
  <si>
    <t>完了</t>
  </si>
  <si>
    <t>備　　考</t>
    <rPh sb="0" eb="1">
      <t>ソナエ</t>
    </rPh>
    <rPh sb="3" eb="4">
      <t>コウ</t>
    </rPh>
    <phoneticPr fontId="4"/>
  </si>
  <si>
    <t>ﾌｪｰｽﾞ</t>
    <phoneticPr fontId="4"/>
  </si>
  <si>
    <t>ＱＡ管理表（社内用）</t>
    <rPh sb="2" eb="4">
      <t>カンリ</t>
    </rPh>
    <rPh sb="4" eb="5">
      <t>ヒョウ</t>
    </rPh>
    <rPh sb="6" eb="8">
      <t>シャナイ</t>
    </rPh>
    <rPh sb="8" eb="9">
      <t>ヨウ</t>
    </rPh>
    <phoneticPr fontId="4"/>
  </si>
  <si>
    <t>東芝
五藤</t>
    <rPh sb="0" eb="2">
      <t>トウシバ</t>
    </rPh>
    <rPh sb="3" eb="5">
      <t>ゴトウ</t>
    </rPh>
    <phoneticPr fontId="3"/>
  </si>
  <si>
    <t>分類</t>
    <rPh sb="0" eb="2">
      <t>ブンルイ</t>
    </rPh>
    <phoneticPr fontId="3"/>
  </si>
  <si>
    <t>見積</t>
    <rPh sb="0" eb="1">
      <t>ミツモリ</t>
    </rPh>
    <phoneticPr fontId="3"/>
  </si>
  <si>
    <t>概要</t>
    <rPh sb="0" eb="2">
      <t>ガイヨウ</t>
    </rPh>
    <phoneticPr fontId="3"/>
  </si>
  <si>
    <t>Amazon RDS の構築</t>
    <rPh sb="11" eb="13">
      <t>コウチク</t>
    </rPh>
    <phoneticPr fontId="3"/>
  </si>
  <si>
    <t>見積</t>
    <phoneticPr fontId="3"/>
  </si>
  <si>
    <t xml:space="preserve">データ移行の対象として、以下の操作証跡関連テーブルを含むでしょうか。現在は含まない前提の場合、含めることにより工数はどの程度変動するでしょうか。
データ移行に加えて、受付番号の初期値の調整が必要と考えます。
　・操作証跡一覧
　・操作証跡帳票
　・操作証跡検索条件
</t>
    <phoneticPr fontId="3"/>
  </si>
  <si>
    <t>操作証跡関連テーブルのデータ移行</t>
    <phoneticPr fontId="3"/>
  </si>
  <si>
    <t>環境構築のうち、「Amazon RDS」については初期構築を含め、社内で対応が必要であることが判明しました。
（お客様に構築を依頼可能であるのは、AWSアカウント発行、VPC作成、行内LAN接続、EC2作成、OS初期設定など）
見積項目「本番機構築」へ「Amazon RDS」の初期構築（新規作成）を含めた場合、工数への影響はあるでしょうか、「影響あり」の場合、どの程度でしょうか。
なお、環境構築時に必要となるパラメータシートの情報は、お渡しします。</t>
    <rPh sb="0" eb="2">
      <t>カンキョウ</t>
    </rPh>
    <rPh sb="2" eb="4">
      <t>コウチク</t>
    </rPh>
    <rPh sb="25" eb="27">
      <t>ショキ</t>
    </rPh>
    <rPh sb="27" eb="29">
      <t>コウチク</t>
    </rPh>
    <rPh sb="30" eb="31">
      <t>フク</t>
    </rPh>
    <rPh sb="33" eb="35">
      <t>シャナイ</t>
    </rPh>
    <rPh sb="36" eb="38">
      <t>タイオウ</t>
    </rPh>
    <rPh sb="39" eb="41">
      <t>ヒツヨウ</t>
    </rPh>
    <rPh sb="47" eb="49">
      <t>ハンメイ</t>
    </rPh>
    <rPh sb="57" eb="59">
      <t>キャクサマ</t>
    </rPh>
    <rPh sb="60" eb="62">
      <t>コウチク</t>
    </rPh>
    <rPh sb="63" eb="65">
      <t>イライ</t>
    </rPh>
    <rPh sb="65" eb="67">
      <t>カノウ</t>
    </rPh>
    <rPh sb="115" eb="117">
      <t>ミツモリ</t>
    </rPh>
    <rPh sb="117" eb="119">
      <t>コウモク</t>
    </rPh>
    <rPh sb="145" eb="147">
      <t>シンキ</t>
    </rPh>
    <rPh sb="147" eb="149">
      <t>サクセイ</t>
    </rPh>
    <rPh sb="151" eb="152">
      <t>フク</t>
    </rPh>
    <rPh sb="154" eb="156">
      <t>バアイ</t>
    </rPh>
    <rPh sb="157" eb="159">
      <t>コウスウ</t>
    </rPh>
    <rPh sb="161" eb="163">
      <t>エイキョウ</t>
    </rPh>
    <rPh sb="173" eb="175">
      <t>エイキョウ</t>
    </rPh>
    <rPh sb="179" eb="181">
      <t>バアイ</t>
    </rPh>
    <rPh sb="184" eb="186">
      <t>テイド</t>
    </rPh>
    <rPh sb="196" eb="198">
      <t>カンキョウ</t>
    </rPh>
    <rPh sb="198" eb="201">
      <t>コウチクジ</t>
    </rPh>
    <rPh sb="202" eb="204">
      <t>ヒツヨウ</t>
    </rPh>
    <rPh sb="216" eb="218">
      <t>ジョウホウ</t>
    </rPh>
    <rPh sb="221" eb="222">
      <t>ワタ</t>
    </rPh>
    <phoneticPr fontId="3"/>
  </si>
  <si>
    <t>バックアップ設定</t>
    <rPh sb="5" eb="7">
      <t>セッテイ</t>
    </rPh>
    <phoneticPr fontId="3"/>
  </si>
  <si>
    <t>以下のバックアップ設定とした場合、見積項目「本番機構築」などの工数はどの程度変動するでしょうか。
1. EC2
Amazon Data Lifecycle Manager (DLM) を使用して、スナップショットを日次で自動取得（※1、※2）。
※1. バックアップ取得時に静止点を設けず、仮想サーバーが起動した状態で取得する。
2. RDS
RDS の自動バックアップ機能（日次でスナップショットを取得）を使用する（※2）。
※2. ただし、「AWS Backup」の設定により、毎月１日に取得するバックアップ（スナップショット）は１年間保存する。</t>
    <rPh sb="0" eb="2">
      <t>イカ</t>
    </rPh>
    <rPh sb="9" eb="11">
      <t>セッテイ</t>
    </rPh>
    <rPh sb="14" eb="16">
      <t>バアイ</t>
    </rPh>
    <rPh sb="191" eb="193">
      <t>ニチジ</t>
    </rPh>
    <rPh sb="203" eb="205">
      <t>シュトク</t>
    </rPh>
    <rPh sb="239" eb="241">
      <t>セッテイ</t>
    </rPh>
    <phoneticPr fontId="3"/>
  </si>
  <si>
    <t>前提とするサーバのＯＳ</t>
    <rPh sb="0" eb="1">
      <t>ゼンテイ</t>
    </rPh>
    <phoneticPr fontId="3"/>
  </si>
  <si>
    <t>Ｗｅｂサーバ、プリントサーバのＯＳは「Windows Server 2019」の前提ですが、お客様がセキュリティの観点から「Windows Server 2022」の利用を希望しています。
仮に「Windows Server 2022」を利用する場合、見積への影響はいかがでしょうか。</t>
    <rPh sb="40" eb="42">
      <t>ゼンテイ</t>
    </rPh>
    <rPh sb="57" eb="59">
      <t>カンテン</t>
    </rPh>
    <rPh sb="83" eb="85">
      <t>リヨウ</t>
    </rPh>
    <rPh sb="86" eb="88">
      <t>キボウ</t>
    </rPh>
    <rPh sb="95" eb="96">
      <t>カリ</t>
    </rPh>
    <rPh sb="123" eb="125">
      <t>バアイ</t>
    </rPh>
    <rPh sb="126" eb="128">
      <t>ミツモリ</t>
    </rPh>
    <rPh sb="130" eb="132">
      <t>エイキョウ</t>
    </rPh>
    <phoneticPr fontId="3"/>
  </si>
  <si>
    <t>「セキュリティ機能チェックリスト、サーバーセキュリティガイドライン」への対応</t>
    <rPh sb="35" eb="37">
      <t>タイオウ</t>
    </rPh>
    <phoneticPr fontId="3"/>
  </si>
  <si>
    <t>環境構築時に以下チェックリスト、ガイドラインを満たす設定、設定していることを示すエビデンスが必要です。
現在の見積工数では不足する場合、追加をお願いします。
06_別紙３「セキュリティ機能チェックリスト」 .xls
　シート「セキュリティ機能CKリスト202205」
　シート「セキュリティ機能CKリスト(AWS版)202403」
07_別紙４「サーバーセキュリティガイドライン」.xls
　シート「2021.4.1版(Windows用)」
　シート「2021.4.1版(RHEL用)」</t>
    <rPh sb="4" eb="5">
      <t>ジ</t>
    </rPh>
    <rPh sb="6" eb="8">
      <t>イカ</t>
    </rPh>
    <rPh sb="23" eb="24">
      <t>ミ</t>
    </rPh>
    <rPh sb="26" eb="28">
      <t>セッテイ</t>
    </rPh>
    <rPh sb="29" eb="31">
      <t>セッテイ</t>
    </rPh>
    <rPh sb="38" eb="39">
      <t>シメ</t>
    </rPh>
    <rPh sb="46" eb="48">
      <t>ヒツヨウ</t>
    </rPh>
    <rPh sb="52" eb="54">
      <t>ゲンザイ</t>
    </rPh>
    <rPh sb="55" eb="57">
      <t>ミツモリ</t>
    </rPh>
    <rPh sb="57" eb="59">
      <t>コウスウ</t>
    </rPh>
    <rPh sb="61" eb="63">
      <t>フソク</t>
    </rPh>
    <rPh sb="65" eb="67">
      <t>バアイ</t>
    </rPh>
    <rPh sb="68" eb="70">
      <t>ツイカ</t>
    </rPh>
    <rPh sb="72" eb="73">
      <t>ネガ</t>
    </rPh>
    <phoneticPr fontId="3"/>
  </si>
  <si>
    <t>アドマックス
長岡</t>
    <rPh sb="7" eb="9">
      <t>ナガオカ</t>
    </rPh>
    <phoneticPr fontId="3"/>
  </si>
  <si>
    <t>ご提示いただく設計に基づき、設定作業を実施いたします。
追加工数は＋1.0人日を想定します。
なお、作業範囲は設定値の反映までとし、リストア（復旧）テストは含みません。</t>
    <rPh sb="19" eb="21">
      <t>ジッシ</t>
    </rPh>
    <rPh sb="28" eb="30">
      <t>ツイカ</t>
    </rPh>
    <rPh sb="30" eb="32">
      <t>コウスウ</t>
    </rPh>
    <phoneticPr fontId="3"/>
  </si>
  <si>
    <t>Windows Server 2022は SVF V9.2（およびJDK、WebCube）が非対応のため、最新の V10.x への刷新とそれに伴う互換性検証が不可欠です。
これにより構成や作業工数が大幅に変動し、当初の見積から増額となる可能性が高いです。
詳細なバージョン要件をいただいた上で再見積とさせてください。</t>
    <phoneticPr fontId="3"/>
  </si>
  <si>
    <t>送付済みの見積工数に操作証跡の移行工数も含まれているため、変動はありません。</t>
    <rPh sb="0" eb="2">
      <t>ソウフ</t>
    </rPh>
    <rPh sb="2" eb="3">
      <t>ズ</t>
    </rPh>
    <rPh sb="5" eb="7">
      <t>ミツモリ</t>
    </rPh>
    <rPh sb="7" eb="9">
      <t>コウスウ</t>
    </rPh>
    <rPh sb="10" eb="14">
      <t>ソウサショウセキ</t>
    </rPh>
    <rPh sb="15" eb="19">
      <t>イコウコウスウ</t>
    </rPh>
    <rPh sb="20" eb="21">
      <t>フク</t>
    </rPh>
    <rPh sb="29" eb="31">
      <t>ヘンドウ</t>
    </rPh>
    <phoneticPr fontId="3"/>
  </si>
  <si>
    <t>バックアップ設定およびエビデンス作成作業を除外した場合、単体工数として ＋3.0人日を想定します。
なお、パラメータ調整・ネットワーク設定変更・セキュリティ要件対応等が発生する場合は別途見積とさせていただきます。</t>
    <rPh sb="43" eb="45">
      <t>ソウテイ</t>
    </rPh>
    <rPh sb="93" eb="95">
      <t>ミツモリ</t>
    </rPh>
    <phoneticPr fontId="3"/>
  </si>
  <si>
    <t>実施項目を精査したところ、合計123件が確認できました。
設定変更の実施に加え、詳細なエビデンス採取の工程も発生するため、追加で 1.0人月 を想定しております。</t>
    <rPh sb="0" eb="2">
      <t>ジッシ</t>
    </rPh>
    <rPh sb="2" eb="4">
      <t>コウモク</t>
    </rPh>
    <rPh sb="5" eb="7">
      <t>セイサ</t>
    </rPh>
    <rPh sb="13" eb="15">
      <t>ゴウケイ</t>
    </rPh>
    <rPh sb="18" eb="19">
      <t>ケン</t>
    </rPh>
    <rPh sb="20" eb="22">
      <t>カクニン</t>
    </rPh>
    <rPh sb="29" eb="31">
      <t>セッテイ</t>
    </rPh>
    <rPh sb="31" eb="33">
      <t>ヘンコウ</t>
    </rPh>
    <rPh sb="34" eb="36">
      <t>ジッシ</t>
    </rPh>
    <rPh sb="37" eb="38">
      <t>クワ</t>
    </rPh>
    <rPh sb="40" eb="42">
      <t>ショウサイ</t>
    </rPh>
    <rPh sb="48" eb="50">
      <t>サイシュ</t>
    </rPh>
    <rPh sb="51" eb="53">
      <t>コウテイ</t>
    </rPh>
    <rPh sb="54" eb="56">
      <t>ハッセイ</t>
    </rPh>
    <rPh sb="61" eb="63">
      <t>ツイカ</t>
    </rPh>
    <rPh sb="68" eb="69">
      <t>ニン</t>
    </rPh>
    <rPh sb="69" eb="70">
      <t>ゲツ</t>
    </rPh>
    <rPh sb="72" eb="74">
      <t>ソウテイ</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</si>
</sst>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m/d"/>
  </numFmts>
  <fonts count="12" x14ac:knownFonts="1">
    <font>
      <sz val="10"/>
      <name val="ＭＳ ゴシック"/>
      <family val="3"/>
      <charset val="128"/>
    </font>
    <font>
      <sz val="10"/>
      <name val="ＭＳ ゴシック"/>
      <family val="3"/>
      <charset val="128"/>
    </font>
    <font>
      <sz val="18"/>
      <name val="ＭＳ ゴシック"/>
      <family val="3"/>
      <charset val="128"/>
    </font>
    <font>
      <sz val="6"/>
      <name val="ＭＳ ゴシック"/>
      <family val="3"/>
      <charset val="128"/>
    </font>
    <font>
      <b/>
      <sz val="10"/>
      <name val="ＭＳ ゴシック"/>
      <family val="3"/>
      <charset val="128"/>
    </font>
    <font>
      <sz val="14"/>
      <name val="ＭＳ ゴシック"/>
      <family val="3"/>
      <charset val="128"/>
    </font>
    <font>
      <sz val="12"/>
      <name val="ＭＳ ゴシック"/>
      <family val="3"/>
      <charset val="128"/>
    </font>
    <font>
      <sz val="11"/>
      <name val="ＭＳ ゴシック"/>
      <family val="3"/>
      <charset val="128"/>
    </font>
    <font>
      <b/>
      <sz val="22"/>
      <name val="ＭＳ ゴシック"/>
      <family val="3"/>
      <charset val="128"/>
    </font>
    <font>
      <sz val="12"/>
      <color indexed="10"/>
      <name val="ＭＳ ゴシック"/>
      <family val="3"/>
      <charset val="128"/>
    </font>
    <font>
      <sz val="12"/>
      <color rgb="FF0000FF"/>
      <name val="ＭＳ ゴシック"/>
      <family val="3"/>
      <charset val="128"/>
    </font>
    <font>
      <sz val="12"/>
      <color rgb="FFFF0000"/>
      <name val="ＭＳ ゴシック"/>
      <family val="3"/>
      <charset val="128"/>
    </font>
  </fonts>
  <fills count="4">
    <fill>
      <patternFill patternType="none"/>
    </fill>
    <fill>
      <patternFill patternType="gray125"/>
    </fill>
    <fill>
      <patternFill patternType="solid">
        <fgColor indexed="22"/>
        <bgColor indexed="64"/>
      </patternFill>
    </fill>
    <fill>
      <patternFill patternType="solid">
        <fgColor theme="8" tint="0.79998168889431442"/>
        <bgColor indexed="64"/>
      </patternFill>
    </fill>
  </fills>
  <borders count="26">
    <border>
      <left/>
      <right/>
      <top/>
      <bottom/>
      <diagonal/>
    </border>
    <border>
      <left/>
      <right/>
      <top/>
      <bottom style="medium">
        <color indexed="64"/>
      </bottom>
      <diagonal/>
    </border>
    <border>
      <left style="medium">
        <color indexed="64"/>
      </left>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medium">
        <color indexed="64"/>
      </right>
      <top style="medium">
        <color indexed="64"/>
      </top>
      <bottom/>
      <diagonal/>
    </border>
    <border>
      <left/>
      <right/>
      <top style="thin">
        <color indexed="64"/>
      </top>
      <bottom style="thin">
        <color indexed="64"/>
      </bottom>
      <diagonal/>
    </border>
    <border>
      <left/>
      <right/>
      <top style="thin">
        <color indexed="64"/>
      </top>
      <bottom/>
      <diagonal/>
    </border>
    <border>
      <left style="medium">
        <color indexed="64"/>
      </left>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85">
    <xf numFmtId="0" fontId="0" fillId="0" borderId="0" xfId="0"/>
    <xf numFmtId="0" fontId="2" fillId="0" borderId="1" xfId="0" applyFont="1" applyBorder="1"/>
    <xf numFmtId="14" fontId="5" fillId="0" borderId="1" xfId="0" applyNumberFormat="1" applyFont="1" applyBorder="1"/>
    <xf numFmtId="0" fontId="6" fillId="0" borderId="1" xfId="0" applyFont="1" applyBorder="1" applyAlignment="1">
      <alignment horizontal="right"/>
    </xf>
    <xf numFmtId="176" fontId="6" fillId="0" borderId="1" xfId="0" applyNumberFormat="1" applyFont="1" applyBorder="1"/>
    <xf numFmtId="0" fontId="6" fillId="2" borderId="1" xfId="0" applyFont="1" applyFill="1" applyBorder="1" applyAlignment="1">
      <alignment wrapText="1"/>
    </xf>
    <xf numFmtId="0" fontId="6" fillId="0" borderId="1" xfId="0" applyFont="1" applyBorder="1"/>
    <xf numFmtId="0" fontId="1" fillId="0" borderId="0" xfId="0" applyFont="1"/>
    <xf numFmtId="0" fontId="6" fillId="0" borderId="10" xfId="0" applyFont="1" applyBorder="1" applyAlignment="1">
      <alignment horizontal="center" vertical="center" wrapText="1"/>
    </xf>
    <xf numFmtId="0" fontId="6" fillId="0" borderId="11" xfId="0" applyFont="1" applyBorder="1" applyAlignment="1">
      <alignment horizontal="center" vertical="center" wrapText="1"/>
    </xf>
    <xf numFmtId="14" fontId="6" fillId="0" borderId="11" xfId="0" quotePrefix="1" applyNumberFormat="1" applyFont="1" applyBorder="1" applyAlignment="1">
      <alignment horizontal="center" vertical="center" wrapText="1"/>
    </xf>
    <xf numFmtId="0" fontId="6" fillId="0" borderId="11" xfId="0" applyFont="1" applyBorder="1" applyAlignment="1">
      <alignment vertical="top" wrapText="1"/>
    </xf>
    <xf numFmtId="14" fontId="6" fillId="0" borderId="11" xfId="0" applyNumberFormat="1" applyFont="1" applyBorder="1" applyAlignment="1">
      <alignment horizontal="center" vertical="center" wrapText="1"/>
    </xf>
    <xf numFmtId="0" fontId="6" fillId="0" borderId="12" xfId="0" applyFont="1" applyBorder="1" applyAlignment="1">
      <alignment horizontal="left" vertical="top" wrapText="1"/>
    </xf>
    <xf numFmtId="0" fontId="6" fillId="0" borderId="13" xfId="0" applyFont="1" applyBorder="1" applyAlignment="1">
      <alignment horizontal="center" vertical="center" wrapText="1"/>
    </xf>
    <xf numFmtId="0" fontId="6" fillId="0" borderId="14" xfId="0" applyFont="1" applyBorder="1" applyAlignment="1">
      <alignment horizontal="center" vertical="center" wrapText="1"/>
    </xf>
    <xf numFmtId="14" fontId="6" fillId="0" borderId="14" xfId="0" quotePrefix="1" applyNumberFormat="1" applyFont="1" applyBorder="1" applyAlignment="1">
      <alignment horizontal="center" vertical="center" wrapText="1"/>
    </xf>
    <xf numFmtId="0" fontId="6" fillId="0" borderId="14" xfId="0" applyFont="1" applyBorder="1" applyAlignment="1">
      <alignment vertical="top" wrapText="1"/>
    </xf>
    <xf numFmtId="14" fontId="6" fillId="0" borderId="14" xfId="0" applyNumberFormat="1" applyFont="1" applyBorder="1" applyAlignment="1">
      <alignment horizontal="center" vertical="center" wrapText="1"/>
    </xf>
    <xf numFmtId="0" fontId="6" fillId="0" borderId="15" xfId="0" applyFont="1" applyBorder="1" applyAlignment="1">
      <alignment horizontal="left" vertical="top" wrapText="1"/>
    </xf>
    <xf numFmtId="0" fontId="6" fillId="0" borderId="16" xfId="0" applyFont="1" applyBorder="1" applyAlignment="1">
      <alignment horizontal="left" vertical="center"/>
    </xf>
    <xf numFmtId="0" fontId="1" fillId="0" borderId="14" xfId="0" applyFont="1" applyBorder="1" applyAlignment="1">
      <alignment horizontal="center" vertical="center"/>
    </xf>
    <xf numFmtId="14" fontId="1" fillId="0" borderId="14" xfId="0" applyNumberFormat="1" applyFont="1" applyBorder="1" applyAlignment="1">
      <alignment horizontal="center" vertical="center"/>
    </xf>
    <xf numFmtId="0" fontId="7" fillId="0" borderId="14" xfId="0" applyFont="1" applyBorder="1" applyAlignment="1">
      <alignment vertical="top" wrapText="1" shrinkToFit="1"/>
    </xf>
    <xf numFmtId="14" fontId="6" fillId="0" borderId="14" xfId="0" applyNumberFormat="1" applyFont="1" applyBorder="1" applyAlignment="1">
      <alignment horizontal="center" vertical="center"/>
    </xf>
    <xf numFmtId="0" fontId="6" fillId="0" borderId="14" xfId="0" applyFont="1" applyBorder="1" applyAlignment="1">
      <alignment horizontal="left" vertical="center"/>
    </xf>
    <xf numFmtId="0" fontId="7" fillId="0" borderId="14" xfId="0" applyFont="1" applyBorder="1" applyAlignment="1">
      <alignment vertical="top"/>
    </xf>
    <xf numFmtId="0" fontId="7" fillId="0" borderId="14" xfId="0" applyFont="1" applyBorder="1" applyAlignment="1">
      <alignment vertical="top" wrapText="1"/>
    </xf>
    <xf numFmtId="0" fontId="6" fillId="0" borderId="14" xfId="0" applyFont="1" applyBorder="1" applyAlignment="1">
      <alignment horizontal="left" vertical="center" wrapText="1"/>
    </xf>
    <xf numFmtId="0" fontId="0" fillId="0" borderId="14" xfId="0" applyBorder="1" applyAlignment="1">
      <alignment horizontal="center" vertical="center"/>
    </xf>
    <xf numFmtId="14" fontId="1" fillId="0" borderId="0" xfId="0" applyNumberFormat="1" applyFont="1" applyAlignment="1">
      <alignment horizontal="center"/>
    </xf>
    <xf numFmtId="0" fontId="7" fillId="0" borderId="0" xfId="0" applyFont="1"/>
    <xf numFmtId="14" fontId="6" fillId="0" borderId="0" xfId="0" applyNumberFormat="1" applyFont="1" applyAlignment="1">
      <alignment horizontal="center" vertical="center"/>
    </xf>
    <xf numFmtId="0" fontId="6" fillId="0" borderId="0" xfId="0" applyFont="1" applyAlignment="1">
      <alignment vertical="top"/>
    </xf>
    <xf numFmtId="177" fontId="6" fillId="0" borderId="0" xfId="0" applyNumberFormat="1" applyFont="1" applyAlignment="1">
      <alignment horizontal="center" vertical="center"/>
    </xf>
    <xf numFmtId="0" fontId="6" fillId="0" borderId="0" xfId="0" applyFont="1" applyAlignment="1">
      <alignment horizontal="left" vertical="center"/>
    </xf>
    <xf numFmtId="0" fontId="8" fillId="0" borderId="1" xfId="0" applyFont="1" applyBorder="1"/>
    <xf numFmtId="14" fontId="6" fillId="0" borderId="11" xfId="0" applyNumberFormat="1" applyFont="1" applyBorder="1" applyAlignment="1">
      <alignment horizontal="center" vertical="center"/>
    </xf>
    <xf numFmtId="0" fontId="6" fillId="0" borderId="17" xfId="0" applyFont="1" applyBorder="1" applyAlignment="1">
      <alignment horizontal="center" vertical="center" wrapText="1"/>
    </xf>
    <xf numFmtId="0" fontId="6" fillId="0" borderId="3" xfId="0" applyFont="1" applyBorder="1" applyAlignment="1">
      <alignment horizontal="center" vertical="center" wrapText="1"/>
    </xf>
    <xf numFmtId="14" fontId="6" fillId="0" borderId="3" xfId="0" quotePrefix="1" applyNumberFormat="1" applyFont="1" applyBorder="1" applyAlignment="1">
      <alignment horizontal="center" vertical="center" wrapText="1"/>
    </xf>
    <xf numFmtId="0" fontId="6" fillId="0" borderId="3" xfId="0" applyFont="1" applyBorder="1" applyAlignment="1">
      <alignment vertical="top" wrapText="1"/>
    </xf>
    <xf numFmtId="14" fontId="6" fillId="0" borderId="3" xfId="0" applyNumberFormat="1" applyFont="1" applyBorder="1" applyAlignment="1">
      <alignment horizontal="center" vertical="center" wrapText="1"/>
    </xf>
    <xf numFmtId="0" fontId="6" fillId="0" borderId="18" xfId="0" applyFont="1" applyBorder="1" applyAlignment="1">
      <alignment horizontal="left" vertical="center"/>
    </xf>
    <xf numFmtId="0" fontId="6" fillId="0" borderId="19" xfId="0" applyFont="1" applyBorder="1" applyAlignment="1">
      <alignment horizontal="left" vertical="center"/>
    </xf>
    <xf numFmtId="0" fontId="6" fillId="0" borderId="20" xfId="0" applyFont="1" applyBorder="1" applyAlignment="1">
      <alignment horizontal="left" vertical="center"/>
    </xf>
    <xf numFmtId="0" fontId="6" fillId="0" borderId="21" xfId="0" applyFont="1" applyBorder="1" applyAlignment="1">
      <alignment horizontal="left" vertical="center"/>
    </xf>
    <xf numFmtId="0" fontId="6" fillId="0" borderId="22" xfId="0" applyFont="1" applyBorder="1" applyAlignment="1">
      <alignment horizontal="left" vertical="center"/>
    </xf>
    <xf numFmtId="0" fontId="0" fillId="0" borderId="23" xfId="0" applyBorder="1"/>
    <xf numFmtId="0" fontId="0" fillId="0" borderId="24" xfId="0" applyBorder="1"/>
    <xf numFmtId="0" fontId="1" fillId="0" borderId="24" xfId="0" applyFont="1" applyBorder="1"/>
    <xf numFmtId="0" fontId="9" fillId="0" borderId="4" xfId="0" applyFont="1" applyBorder="1" applyAlignment="1">
      <alignment horizontal="left" vertical="top" wrapText="1"/>
    </xf>
    <xf numFmtId="0" fontId="6" fillId="0" borderId="25" xfId="0" applyFont="1" applyBorder="1" applyAlignment="1">
      <alignment horizontal="center" vertical="center" wrapText="1"/>
    </xf>
    <xf numFmtId="0" fontId="10" fillId="0" borderId="10" xfId="0" applyFont="1" applyBorder="1" applyAlignment="1">
      <alignment horizontal="center" vertical="center" wrapText="1"/>
    </xf>
    <xf numFmtId="0" fontId="10" fillId="0" borderId="11" xfId="0" applyFont="1" applyBorder="1" applyAlignment="1">
      <alignment horizontal="center" vertical="center" wrapText="1"/>
    </xf>
    <xf numFmtId="14" fontId="10" fillId="0" borderId="11" xfId="0" quotePrefix="1" applyNumberFormat="1" applyFont="1" applyBorder="1" applyAlignment="1">
      <alignment horizontal="center" vertical="center" wrapText="1"/>
    </xf>
    <xf numFmtId="0" fontId="10" fillId="0" borderId="11" xfId="0" applyFont="1" applyBorder="1" applyAlignment="1">
      <alignment vertical="top" wrapText="1"/>
    </xf>
    <xf numFmtId="14" fontId="10" fillId="0" borderId="11" xfId="0" applyNumberFormat="1" applyFont="1" applyBorder="1" applyAlignment="1">
      <alignment horizontal="center" vertical="center" wrapText="1"/>
    </xf>
    <xf numFmtId="14" fontId="10" fillId="0" borderId="11" xfId="0" applyNumberFormat="1" applyFont="1" applyBorder="1" applyAlignment="1">
      <alignment horizontal="center" vertical="center"/>
    </xf>
    <xf numFmtId="0" fontId="10" fillId="0" borderId="12" xfId="0" applyFont="1" applyBorder="1" applyAlignment="1">
      <alignment horizontal="left" vertical="top" wrapText="1"/>
    </xf>
    <xf numFmtId="0" fontId="6" fillId="0" borderId="11" xfId="0" applyFont="1" applyBorder="1" applyAlignment="1">
      <alignment horizontal="center" vertical="top" wrapText="1"/>
    </xf>
    <xf numFmtId="0" fontId="11" fillId="0" borderId="12" xfId="0" applyFont="1" applyBorder="1" applyAlignment="1">
      <alignment horizontal="left" vertical="top" wrapText="1"/>
    </xf>
    <xf numFmtId="0" fontId="5" fillId="3" borderId="2" xfId="0" applyFont="1" applyFill="1" applyBorder="1"/>
    <xf numFmtId="0" fontId="5" fillId="3" borderId="3" xfId="0" applyFont="1" applyFill="1" applyBorder="1"/>
    <xf numFmtId="14" fontId="5" fillId="3" borderId="3" xfId="0" applyNumberFormat="1" applyFont="1" applyFill="1" applyBorder="1" applyAlignment="1">
      <alignment horizontal="center"/>
    </xf>
    <xf numFmtId="0" fontId="5" fillId="3" borderId="3" xfId="0" applyFont="1" applyFill="1" applyBorder="1" applyAlignment="1">
      <alignment horizontal="center"/>
    </xf>
    <xf numFmtId="14" fontId="6" fillId="3" borderId="3" xfId="0" applyNumberFormat="1" applyFont="1" applyFill="1" applyBorder="1" applyAlignment="1">
      <alignment horizontal="center" vertical="center"/>
    </xf>
    <xf numFmtId="0" fontId="6" fillId="3" borderId="3" xfId="0" applyFont="1" applyFill="1" applyBorder="1" applyAlignment="1">
      <alignment vertical="top"/>
    </xf>
    <xf numFmtId="177" fontId="6" fillId="3" borderId="3" xfId="0" applyNumberFormat="1" applyFont="1" applyFill="1" applyBorder="1" applyAlignment="1">
      <alignment horizontal="center" vertical="center"/>
    </xf>
    <xf numFmtId="14" fontId="6" fillId="3" borderId="4" xfId="0" applyNumberFormat="1" applyFont="1" applyFill="1" applyBorder="1" applyAlignment="1">
      <alignment horizontal="left" vertical="center"/>
    </xf>
    <xf numFmtId="14" fontId="6" fillId="3" borderId="5" xfId="0" applyNumberFormat="1" applyFont="1" applyFill="1" applyBorder="1" applyAlignment="1">
      <alignment horizontal="left" vertical="center"/>
    </xf>
    <xf numFmtId="0" fontId="5" fillId="3" borderId="6" xfId="0" applyFont="1" applyFill="1" applyBorder="1" applyAlignment="1">
      <alignment horizontal="center"/>
    </xf>
    <xf numFmtId="0" fontId="5" fillId="3" borderId="7" xfId="0" applyFont="1" applyFill="1" applyBorder="1" applyAlignment="1">
      <alignment horizontal="center"/>
    </xf>
    <xf numFmtId="0" fontId="5" fillId="3" borderId="7" xfId="0" applyFont="1" applyFill="1" applyBorder="1" applyAlignment="1">
      <alignment horizontal="center" vertical="center"/>
    </xf>
    <xf numFmtId="14" fontId="5" fillId="3" borderId="7" xfId="0" applyNumberFormat="1" applyFont="1" applyFill="1" applyBorder="1" applyAlignment="1">
      <alignment horizontal="center" vertical="center"/>
    </xf>
    <xf numFmtId="177" fontId="5" fillId="3" borderId="7" xfId="0" applyNumberFormat="1" applyFont="1" applyFill="1" applyBorder="1" applyAlignment="1">
      <alignment horizontal="center" vertical="center"/>
    </xf>
    <xf numFmtId="0" fontId="5" fillId="3" borderId="8" xfId="0" applyFont="1" applyFill="1" applyBorder="1" applyAlignment="1">
      <alignment horizontal="center" vertical="center" wrapText="1"/>
    </xf>
    <xf numFmtId="0" fontId="7" fillId="3" borderId="9" xfId="0" applyFont="1" applyFill="1" applyBorder="1" applyAlignment="1">
      <alignment vertical="center" wrapText="1"/>
    </xf>
    <xf numFmtId="0" fontId="7" fillId="3" borderId="9" xfId="0" applyFont="1" applyFill="1" applyBorder="1" applyAlignment="1">
      <alignment horizontal="center" vertical="center" wrapText="1"/>
    </xf>
    <xf numFmtId="14" fontId="6" fillId="0" borderId="14" xfId="0" quotePrefix="1" applyNumberFormat="1" applyFont="1" applyBorder="1" applyAlignment="1">
      <alignment vertical="center" wrapText="1"/>
    </xf>
    <xf numFmtId="0" fontId="11" fillId="0" borderId="3" xfId="0" applyFont="1" applyBorder="1" applyAlignment="1">
      <alignment vertical="top" wrapText="1"/>
    </xf>
    <xf numFmtId="0" fontId="11" fillId="0" borderId="3" xfId="0" applyFont="1" applyBorder="1" applyAlignment="1">
      <alignment horizontal="center" vertical="center" wrapText="1"/>
    </xf>
    <xf numFmtId="0" fontId="11" fillId="0" borderId="11" xfId="0" applyFont="1" applyBorder="1" applyAlignment="1">
      <alignment vertical="top" wrapText="1"/>
    </xf>
    <xf numFmtId="0" fontId="11" fillId="0" borderId="11" xfId="0" applyFont="1" applyBorder="1" applyAlignment="1">
      <alignment horizontal="center" vertical="center" wrapText="1"/>
    </xf>
    <xf numFmtId="0" fontId="11" fillId="0" borderId="14" xfId="0" applyFont="1" applyBorder="1" applyAlignment="1">
      <alignment vertical="top" wrapText="1"/>
    </xf>
  </cellXfs>
  <cellStyles count="1">
    <cellStyle name="標準" xfId="0" builtinId="0"/>
  </cellStyles>
  <dxfs count="7">
    <dxf>
      <fill>
        <patternFill>
          <bgColor indexed="22"/>
        </patternFill>
      </fill>
    </dxf>
    <dxf>
      <fill>
        <patternFill>
          <bgColor indexed="45"/>
        </patternFill>
      </fill>
    </dxf>
    <dxf>
      <fill>
        <patternFill>
          <bgColor indexed="22"/>
        </patternFill>
      </fill>
    </dxf>
    <dxf>
      <fill>
        <patternFill>
          <bgColor indexed="26"/>
        </patternFill>
      </fill>
    </dxf>
    <dxf>
      <fill>
        <patternFill>
          <bgColor indexed="43"/>
        </patternFill>
      </fill>
    </dxf>
    <dxf>
      <fill>
        <patternFill>
          <bgColor indexed="26"/>
        </patternFill>
      </fill>
    </dxf>
    <dxf>
      <fill>
        <patternFill>
          <bgColor indexed="22"/>
        </patternFill>
      </fill>
    </dxf>
  </dxfs>
  <tableStyles count="0" defaultTableStyle="TableStyleMedium9"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O74"/>
  <sheetViews>
    <sheetView tabSelected="1" zoomScale="85" zoomScaleNormal="85" zoomScaleSheetLayoutView="85" workbookViewId="0">
      <pane ySplit="3" topLeftCell="A4" activePane="bottomLeft" state="frozen"/>
      <selection activeCell="F120" sqref="F120"/>
      <selection pane="bottomLeft" activeCell="A4" sqref="A4"/>
    </sheetView>
  </sheetViews>
  <sheetFormatPr defaultColWidth="9.109375" defaultRowHeight="14.4" x14ac:dyDescent="0.2"/>
  <cols>
    <col min="1" max="1" width="3.109375" style="7" customWidth="1"/>
    <col min="2" max="2" width="5.44140625" style="7" customWidth="1"/>
    <col min="3" max="3" width="8" style="7" hidden="1" customWidth="1"/>
    <col min="4" max="4" width="16.109375" style="7" customWidth="1"/>
    <col min="5" max="5" width="14.109375" style="30" bestFit="1" customWidth="1"/>
    <col min="6" max="6" width="13.5546875" style="30" customWidth="1"/>
    <col min="7" max="7" width="32.6640625" style="30" customWidth="1"/>
    <col min="8" max="8" width="79.6640625" style="31" customWidth="1"/>
    <col min="9" max="9" width="14.6640625" style="32" customWidth="1"/>
    <col min="10" max="10" width="82.5546875" style="33" customWidth="1"/>
    <col min="11" max="11" width="18" style="33" customWidth="1"/>
    <col min="12" max="12" width="13.5546875" style="34" customWidth="1"/>
    <col min="13" max="13" width="39.33203125" style="35" customWidth="1"/>
    <col min="14" max="14" width="8.44140625" style="35" customWidth="1"/>
    <col min="15" max="16384" width="9.109375" style="7"/>
  </cols>
  <sheetData>
    <row r="1" spans="2:15" ht="51.75" customHeight="1" thickBot="1" x14ac:dyDescent="0.35">
      <c r="B1" s="36" t="s">
        <v>14</v>
      </c>
      <c r="C1" s="1"/>
      <c r="D1" s="1"/>
      <c r="E1" s="2"/>
      <c r="F1" s="2"/>
      <c r="G1" s="2"/>
      <c r="H1" s="3"/>
      <c r="I1" s="4">
        <f>COUNT(B4:B65536)</f>
        <v>5</v>
      </c>
      <c r="J1" s="3" t="s">
        <v>2</v>
      </c>
      <c r="K1" s="3"/>
      <c r="L1" s="4">
        <f>I1-COUNT(L4:L65536)</f>
        <v>5</v>
      </c>
      <c r="M1" s="5" t="s">
        <v>3</v>
      </c>
      <c r="N1" s="6"/>
    </row>
    <row r="2" spans="2:15" ht="35.25" customHeight="1" x14ac:dyDescent="0.2">
      <c r="B2" s="62"/>
      <c r="C2" s="63"/>
      <c r="D2" s="63"/>
      <c r="E2" s="64"/>
      <c r="F2" s="64"/>
      <c r="G2" s="64"/>
      <c r="H2" s="65"/>
      <c r="I2" s="66"/>
      <c r="J2" s="67"/>
      <c r="K2" s="67"/>
      <c r="L2" s="68" t="s">
        <v>4</v>
      </c>
      <c r="M2" s="69"/>
      <c r="N2" s="70"/>
      <c r="O2" s="70"/>
    </row>
    <row r="3" spans="2:15" ht="27.75" customHeight="1" thickBot="1" x14ac:dyDescent="0.25">
      <c r="B3" s="71" t="s">
        <v>5</v>
      </c>
      <c r="C3" s="72" t="s">
        <v>6</v>
      </c>
      <c r="D3" s="73" t="s">
        <v>1</v>
      </c>
      <c r="E3" s="74" t="s">
        <v>7</v>
      </c>
      <c r="F3" s="74" t="s">
        <v>16</v>
      </c>
      <c r="G3" s="74" t="s">
        <v>18</v>
      </c>
      <c r="H3" s="73" t="s">
        <v>8</v>
      </c>
      <c r="I3" s="74" t="s">
        <v>9</v>
      </c>
      <c r="J3" s="73" t="s">
        <v>10</v>
      </c>
      <c r="K3" s="73" t="s">
        <v>0</v>
      </c>
      <c r="L3" s="75" t="s">
        <v>11</v>
      </c>
      <c r="M3" s="76" t="s">
        <v>12</v>
      </c>
      <c r="N3" s="77" t="s">
        <v>13</v>
      </c>
      <c r="O3" s="78"/>
    </row>
    <row r="4" spans="2:15" ht="166.5" customHeight="1" x14ac:dyDescent="0.15">
      <c r="B4" s="38">
        <v>1</v>
      </c>
      <c r="C4" s="39"/>
      <c r="D4" s="39" t="s">
        <v>15</v>
      </c>
      <c r="E4" s="40">
        <v>46126</v>
      </c>
      <c r="F4" s="40" t="s">
        <v>17</v>
      </c>
      <c r="G4" s="40" t="s">
        <v>19</v>
      </c>
      <c r="H4" s="41" t="s">
        <v>23</v>
      </c>
      <c r="I4" s="42">
        <v>46129</v>
      </c>
      <c r="J4" s="80" t="s">
        <v>34</v>
      </c>
      <c r="K4" s="81" t="s">
        <v>30</v>
      </c>
      <c r="L4" s="42"/>
      <c r="M4" s="51"/>
      <c r="N4" s="43"/>
      <c r="O4" s="48"/>
    </row>
    <row r="5" spans="2:15" ht="137.25" customHeight="1" x14ac:dyDescent="0.15">
      <c r="B5" s="14">
        <f>B4+1</f>
        <v>2</v>
      </c>
      <c r="C5" s="15"/>
      <c r="D5" s="15" t="s">
        <v>15</v>
      </c>
      <c r="E5" s="16">
        <v>46119</v>
      </c>
      <c r="F5" s="16" t="s">
        <v>20</v>
      </c>
      <c r="G5" s="16" t="s">
        <v>22</v>
      </c>
      <c r="H5" s="17" t="s">
        <v>21</v>
      </c>
      <c r="I5" s="18">
        <v>46129</v>
      </c>
      <c r="J5" s="84" t="s">
        <v>33</v>
      </c>
      <c r="K5" s="83" t="s">
        <v>30</v>
      </c>
      <c r="L5" s="18"/>
      <c r="M5" s="19"/>
      <c r="N5" s="20"/>
      <c r="O5" s="49"/>
    </row>
    <row r="6" spans="2:15" ht="243.75" customHeight="1" x14ac:dyDescent="0.15">
      <c r="B6" s="14">
        <f>B5+1</f>
        <v>3</v>
      </c>
      <c r="C6" s="15"/>
      <c r="D6" s="15" t="s">
        <v>15</v>
      </c>
      <c r="E6" s="16">
        <v>46126</v>
      </c>
      <c r="F6" s="16" t="s">
        <v>20</v>
      </c>
      <c r="G6" s="16" t="s">
        <v>24</v>
      </c>
      <c r="H6" s="17" t="s">
        <v>25</v>
      </c>
      <c r="I6" s="18">
        <v>46129</v>
      </c>
      <c r="J6" s="84" t="s">
        <v>31</v>
      </c>
      <c r="K6" s="83" t="s">
        <v>30</v>
      </c>
      <c r="L6" s="24"/>
      <c r="M6" s="19"/>
      <c r="N6" s="45"/>
      <c r="O6" s="50"/>
    </row>
    <row r="7" spans="2:15" ht="108.75" customHeight="1" x14ac:dyDescent="0.15">
      <c r="B7" s="14">
        <f>B6+1</f>
        <v>4</v>
      </c>
      <c r="C7" s="15"/>
      <c r="D7" s="15" t="s">
        <v>15</v>
      </c>
      <c r="E7" s="16">
        <v>46126</v>
      </c>
      <c r="F7" s="16" t="s">
        <v>20</v>
      </c>
      <c r="G7" s="16" t="s">
        <v>26</v>
      </c>
      <c r="H7" s="11" t="s">
        <v>27</v>
      </c>
      <c r="I7" s="18">
        <v>46129</v>
      </c>
      <c r="J7" s="82" t="s">
        <v>32</v>
      </c>
      <c r="K7" s="83" t="s">
        <v>30</v>
      </c>
      <c r="L7" s="37"/>
      <c r="M7" s="13"/>
      <c r="N7" s="45"/>
      <c r="O7" s="50"/>
    </row>
    <row r="8" spans="2:15" ht="169.5" customHeight="1" x14ac:dyDescent="0.15">
      <c r="B8" s="14">
        <f>B7+1</f>
        <v>5</v>
      </c>
      <c r="C8" s="15"/>
      <c r="D8" s="15" t="s">
        <v>15</v>
      </c>
      <c r="E8" s="16">
        <v>46126</v>
      </c>
      <c r="F8" s="16" t="s">
        <v>20</v>
      </c>
      <c r="G8" s="79" t="s">
        <v>28</v>
      </c>
      <c r="H8" s="11" t="s">
        <v>29</v>
      </c>
      <c r="I8" s="18">
        <v>46129</v>
      </c>
      <c r="J8" s="82" t="s">
        <v>35</v>
      </c>
      <c r="K8" s="83" t="s">
        <v>30</v>
      </c>
      <c r="L8" s="37"/>
      <c r="M8" s="13"/>
      <c r="N8" s="45"/>
      <c r="O8" s="50"/>
    </row>
    <row r="9" spans="2:15" ht="39.9" customHeight="1" x14ac:dyDescent="0.15">
      <c r="B9" s="8"/>
      <c r="C9" s="9"/>
      <c r="D9" s="52"/>
      <c r="E9" s="10"/>
      <c r="F9" s="10"/>
      <c r="G9" s="10"/>
      <c r="H9" s="11"/>
      <c r="I9" s="12"/>
      <c r="J9" s="11"/>
      <c r="K9" s="60"/>
      <c r="L9" s="37"/>
      <c r="M9" s="13"/>
      <c r="N9" s="45"/>
      <c r="O9" s="49"/>
    </row>
    <row r="10" spans="2:15" ht="39.9" customHeight="1" x14ac:dyDescent="0.15">
      <c r="B10" s="53"/>
      <c r="C10" s="54"/>
      <c r="D10" s="54"/>
      <c r="E10" s="55"/>
      <c r="F10" s="55"/>
      <c r="G10" s="55"/>
      <c r="H10" s="56"/>
      <c r="I10" s="57"/>
      <c r="J10" s="56"/>
      <c r="K10" s="54"/>
      <c r="L10" s="58"/>
      <c r="M10" s="59"/>
      <c r="N10" s="45"/>
      <c r="O10" s="50"/>
    </row>
    <row r="11" spans="2:15" ht="39.9" customHeight="1" x14ac:dyDescent="0.15">
      <c r="B11" s="8"/>
      <c r="C11" s="9"/>
      <c r="D11" s="9"/>
      <c r="E11" s="10"/>
      <c r="F11" s="10"/>
      <c r="G11" s="10"/>
      <c r="H11" s="11"/>
      <c r="I11" s="12"/>
      <c r="J11" s="11"/>
      <c r="K11" s="9"/>
      <c r="L11" s="37"/>
      <c r="M11" s="13"/>
      <c r="N11" s="45"/>
      <c r="O11" s="49"/>
    </row>
    <row r="12" spans="2:15" ht="39.9" customHeight="1" x14ac:dyDescent="0.15">
      <c r="B12" s="8"/>
      <c r="C12" s="9"/>
      <c r="D12" s="9"/>
      <c r="E12" s="10"/>
      <c r="F12" s="10"/>
      <c r="G12" s="10"/>
      <c r="H12" s="11"/>
      <c r="I12" s="12"/>
      <c r="J12" s="11"/>
      <c r="K12" s="9"/>
      <c r="L12" s="37"/>
      <c r="M12" s="61"/>
      <c r="N12" s="45"/>
      <c r="O12" s="49"/>
    </row>
    <row r="13" spans="2:15" ht="39.9" customHeight="1" x14ac:dyDescent="0.15">
      <c r="B13" s="8"/>
      <c r="C13" s="9"/>
      <c r="D13" s="9"/>
      <c r="E13" s="10"/>
      <c r="F13" s="10"/>
      <c r="G13" s="10"/>
      <c r="H13" s="11"/>
      <c r="I13" s="12"/>
      <c r="J13" s="11"/>
      <c r="K13" s="9"/>
      <c r="L13" s="37"/>
      <c r="M13" s="13"/>
      <c r="N13" s="45"/>
      <c r="O13" s="49"/>
    </row>
    <row r="14" spans="2:15" ht="39.9" customHeight="1" x14ac:dyDescent="0.15">
      <c r="B14" s="8"/>
      <c r="C14" s="9"/>
      <c r="D14" s="9"/>
      <c r="E14" s="10"/>
      <c r="F14" s="10"/>
      <c r="G14" s="10"/>
      <c r="H14" s="11"/>
      <c r="I14" s="12"/>
      <c r="J14" s="11"/>
      <c r="K14" s="9"/>
      <c r="L14" s="37"/>
      <c r="M14" s="13"/>
      <c r="N14" s="45"/>
      <c r="O14" s="49"/>
    </row>
    <row r="15" spans="2:15" ht="39.9" customHeight="1" x14ac:dyDescent="0.15">
      <c r="B15" s="8"/>
      <c r="C15" s="9"/>
      <c r="D15" s="9"/>
      <c r="E15" s="10"/>
      <c r="F15" s="10"/>
      <c r="G15" s="10"/>
      <c r="H15" s="11"/>
      <c r="I15" s="12"/>
      <c r="J15" s="11"/>
      <c r="K15" s="11"/>
      <c r="L15" s="37"/>
      <c r="M15" s="13"/>
      <c r="N15" s="45"/>
      <c r="O15" s="50"/>
    </row>
    <row r="16" spans="2:15" ht="39.9" customHeight="1" x14ac:dyDescent="0.15">
      <c r="B16" s="8"/>
      <c r="C16" s="9"/>
      <c r="D16" s="9"/>
      <c r="E16" s="12"/>
      <c r="F16" s="12"/>
      <c r="G16" s="12"/>
      <c r="H16" s="11"/>
      <c r="I16" s="12"/>
      <c r="J16" s="11"/>
      <c r="K16" s="11"/>
      <c r="L16" s="37"/>
      <c r="M16" s="13"/>
      <c r="N16" s="45"/>
      <c r="O16" s="50"/>
    </row>
    <row r="17" spans="2:15" ht="39.9" customHeight="1" x14ac:dyDescent="0.15">
      <c r="B17" s="8"/>
      <c r="C17" s="9"/>
      <c r="D17" s="9"/>
      <c r="E17" s="12"/>
      <c r="F17" s="12"/>
      <c r="G17" s="12"/>
      <c r="H17" s="11"/>
      <c r="I17" s="12"/>
      <c r="J17" s="11"/>
      <c r="K17" s="11"/>
      <c r="L17" s="37"/>
      <c r="M17" s="13"/>
      <c r="N17" s="45"/>
      <c r="O17" s="50"/>
    </row>
    <row r="18" spans="2:15" ht="39.9" customHeight="1" x14ac:dyDescent="0.15">
      <c r="B18" s="8"/>
      <c r="C18" s="9"/>
      <c r="D18" s="9"/>
      <c r="E18" s="12"/>
      <c r="F18" s="12"/>
      <c r="G18" s="12"/>
      <c r="H18" s="11"/>
      <c r="I18" s="12"/>
      <c r="J18" s="11"/>
      <c r="K18" s="11"/>
      <c r="L18" s="37"/>
      <c r="M18" s="13"/>
      <c r="N18" s="45"/>
      <c r="O18" s="50"/>
    </row>
    <row r="19" spans="2:15" ht="39.9" customHeight="1" x14ac:dyDescent="0.15">
      <c r="B19" s="8"/>
      <c r="C19" s="9"/>
      <c r="D19" s="9"/>
      <c r="E19" s="10"/>
      <c r="F19" s="10"/>
      <c r="G19" s="10"/>
      <c r="H19" s="11"/>
      <c r="I19" s="12"/>
      <c r="J19" s="11"/>
      <c r="K19" s="11"/>
      <c r="L19" s="37"/>
      <c r="M19" s="13"/>
      <c r="N19" s="45"/>
      <c r="O19" s="50"/>
    </row>
    <row r="20" spans="2:15" ht="39.9" customHeight="1" x14ac:dyDescent="0.15">
      <c r="B20" s="8"/>
      <c r="C20" s="9"/>
      <c r="D20" s="9"/>
      <c r="E20" s="10"/>
      <c r="F20" s="10"/>
      <c r="G20" s="10"/>
      <c r="H20" s="11"/>
      <c r="I20" s="12"/>
      <c r="J20" s="11"/>
      <c r="K20" s="11"/>
      <c r="L20" s="37"/>
      <c r="M20" s="13"/>
      <c r="N20" s="45"/>
      <c r="O20" s="50"/>
    </row>
    <row r="21" spans="2:15" ht="39.9" customHeight="1" x14ac:dyDescent="0.15">
      <c r="B21" s="8"/>
      <c r="C21" s="9"/>
      <c r="D21" s="9"/>
      <c r="E21" s="10"/>
      <c r="F21" s="10"/>
      <c r="G21" s="10"/>
      <c r="H21" s="11"/>
      <c r="I21" s="12"/>
      <c r="J21" s="11"/>
      <c r="K21" s="11"/>
      <c r="L21" s="37"/>
      <c r="M21" s="13"/>
      <c r="N21" s="45"/>
      <c r="O21" s="50"/>
    </row>
    <row r="22" spans="2:15" ht="39.9" customHeight="1" x14ac:dyDescent="0.15">
      <c r="B22" s="14"/>
      <c r="C22" s="9"/>
      <c r="D22" s="15"/>
      <c r="E22" s="16"/>
      <c r="F22" s="16"/>
      <c r="G22" s="16"/>
      <c r="H22" s="17"/>
      <c r="I22" s="18"/>
      <c r="J22" s="17"/>
      <c r="K22" s="17"/>
      <c r="L22" s="24"/>
      <c r="M22" s="19"/>
      <c r="N22" s="44"/>
      <c r="O22" s="50"/>
    </row>
    <row r="23" spans="2:15" ht="39.9" customHeight="1" x14ac:dyDescent="0.15">
      <c r="B23" s="14"/>
      <c r="C23" s="9"/>
      <c r="D23" s="15"/>
      <c r="E23" s="16"/>
      <c r="F23" s="16"/>
      <c r="G23" s="16"/>
      <c r="H23" s="17"/>
      <c r="I23" s="18"/>
      <c r="J23" s="17"/>
      <c r="K23" s="17"/>
      <c r="L23" s="24"/>
      <c r="M23" s="19"/>
      <c r="N23" s="44"/>
      <c r="O23" s="50"/>
    </row>
    <row r="24" spans="2:15" ht="39.9" customHeight="1" x14ac:dyDescent="0.15">
      <c r="B24" s="8"/>
      <c r="C24" s="9"/>
      <c r="D24" s="9"/>
      <c r="E24" s="10"/>
      <c r="F24" s="10"/>
      <c r="G24" s="10"/>
      <c r="H24" s="11"/>
      <c r="I24" s="12"/>
      <c r="J24" s="11"/>
      <c r="K24" s="11"/>
      <c r="L24" s="37"/>
      <c r="M24" s="13"/>
      <c r="N24" s="45"/>
      <c r="O24" s="50"/>
    </row>
    <row r="25" spans="2:15" ht="39.9" customHeight="1" x14ac:dyDescent="0.15">
      <c r="B25" s="8"/>
      <c r="C25" s="9"/>
      <c r="D25" s="9"/>
      <c r="E25" s="10"/>
      <c r="F25" s="10"/>
      <c r="G25" s="10"/>
      <c r="H25" s="11"/>
      <c r="I25" s="12"/>
      <c r="J25" s="11"/>
      <c r="K25" s="11"/>
      <c r="L25" s="37"/>
      <c r="M25" s="13"/>
      <c r="N25" s="45"/>
      <c r="O25" s="50"/>
    </row>
    <row r="26" spans="2:15" ht="39.9" customHeight="1" x14ac:dyDescent="0.15">
      <c r="B26" s="14"/>
      <c r="C26" s="9"/>
      <c r="D26" s="15"/>
      <c r="E26" s="16"/>
      <c r="F26" s="16"/>
      <c r="G26" s="16"/>
      <c r="H26" s="17"/>
      <c r="I26" s="18"/>
      <c r="J26" s="17"/>
      <c r="K26" s="17"/>
      <c r="L26" s="24"/>
      <c r="M26" s="19"/>
      <c r="N26" s="45"/>
      <c r="O26" s="50"/>
    </row>
    <row r="27" spans="2:15" ht="39.9" customHeight="1" x14ac:dyDescent="0.15">
      <c r="B27" s="8"/>
      <c r="C27" s="9"/>
      <c r="D27" s="9"/>
      <c r="E27" s="10"/>
      <c r="F27" s="10"/>
      <c r="G27" s="10"/>
      <c r="H27" s="11"/>
      <c r="I27" s="12"/>
      <c r="J27" s="11"/>
      <c r="K27" s="11"/>
      <c r="L27" s="37"/>
      <c r="M27" s="13"/>
      <c r="N27" s="45"/>
      <c r="O27" s="50"/>
    </row>
    <row r="28" spans="2:15" ht="39.9" customHeight="1" x14ac:dyDescent="0.15">
      <c r="B28" s="8"/>
      <c r="C28" s="9"/>
      <c r="D28" s="9"/>
      <c r="E28" s="10"/>
      <c r="F28" s="10"/>
      <c r="G28" s="10"/>
      <c r="H28" s="11"/>
      <c r="I28" s="12"/>
      <c r="J28" s="11"/>
      <c r="K28" s="11"/>
      <c r="L28" s="37"/>
      <c r="M28" s="13"/>
      <c r="N28" s="45"/>
      <c r="O28" s="50"/>
    </row>
    <row r="29" spans="2:15" ht="39.9" customHeight="1" x14ac:dyDescent="0.15">
      <c r="B29" s="8"/>
      <c r="C29" s="9"/>
      <c r="D29" s="9"/>
      <c r="E29" s="10"/>
      <c r="F29" s="10"/>
      <c r="G29" s="10"/>
      <c r="H29" s="11"/>
      <c r="I29" s="12"/>
      <c r="J29" s="11"/>
      <c r="K29" s="11"/>
      <c r="L29" s="37"/>
      <c r="M29" s="13"/>
      <c r="N29" s="45"/>
      <c r="O29" s="50"/>
    </row>
    <row r="30" spans="2:15" ht="39.9" customHeight="1" x14ac:dyDescent="0.15">
      <c r="B30" s="8"/>
      <c r="C30" s="9"/>
      <c r="D30" s="9"/>
      <c r="E30" s="10"/>
      <c r="F30" s="10"/>
      <c r="G30" s="10"/>
      <c r="H30" s="11"/>
      <c r="I30" s="12"/>
      <c r="J30" s="11"/>
      <c r="K30" s="11"/>
      <c r="L30" s="37"/>
      <c r="M30" s="13"/>
      <c r="N30" s="45"/>
      <c r="O30" s="50"/>
    </row>
    <row r="31" spans="2:15" ht="39.9" customHeight="1" x14ac:dyDescent="0.15">
      <c r="B31" s="8"/>
      <c r="C31" s="9"/>
      <c r="D31" s="9"/>
      <c r="E31" s="10"/>
      <c r="F31" s="10"/>
      <c r="G31" s="10"/>
      <c r="H31" s="11"/>
      <c r="I31" s="12"/>
      <c r="J31" s="11"/>
      <c r="K31" s="11"/>
      <c r="L31" s="37"/>
      <c r="M31" s="13"/>
      <c r="N31" s="45"/>
      <c r="O31" s="50"/>
    </row>
    <row r="32" spans="2:15" ht="39.9" customHeight="1" x14ac:dyDescent="0.15">
      <c r="B32" s="14"/>
      <c r="C32" s="9"/>
      <c r="D32" s="15"/>
      <c r="E32" s="16"/>
      <c r="F32" s="16"/>
      <c r="G32" s="16"/>
      <c r="H32" s="17"/>
      <c r="I32" s="18"/>
      <c r="J32" s="17"/>
      <c r="K32" s="17"/>
      <c r="L32" s="24"/>
      <c r="M32" s="19"/>
      <c r="N32" s="44"/>
      <c r="O32" s="50"/>
    </row>
    <row r="33" spans="2:15" ht="39.9" customHeight="1" x14ac:dyDescent="0.15">
      <c r="B33" s="8"/>
      <c r="C33" s="9"/>
      <c r="D33" s="9"/>
      <c r="E33" s="10"/>
      <c r="F33" s="10"/>
      <c r="G33" s="10"/>
      <c r="H33" s="11"/>
      <c r="I33" s="12"/>
      <c r="J33" s="11"/>
      <c r="K33" s="11"/>
      <c r="L33" s="37"/>
      <c r="M33" s="13"/>
      <c r="N33" s="45"/>
      <c r="O33" s="50"/>
    </row>
    <row r="34" spans="2:15" ht="39.9" customHeight="1" x14ac:dyDescent="0.15">
      <c r="B34" s="14"/>
      <c r="C34" s="9"/>
      <c r="D34" s="15"/>
      <c r="E34" s="16"/>
      <c r="F34" s="16"/>
      <c r="G34" s="16"/>
      <c r="H34" s="17"/>
      <c r="I34" s="18"/>
      <c r="J34" s="17"/>
      <c r="K34" s="17"/>
      <c r="L34" s="24"/>
      <c r="M34" s="19"/>
      <c r="N34" s="44"/>
      <c r="O34" s="50"/>
    </row>
    <row r="35" spans="2:15" ht="39.9" customHeight="1" x14ac:dyDescent="0.15">
      <c r="B35" s="8"/>
      <c r="C35" s="9"/>
      <c r="D35" s="9"/>
      <c r="E35" s="10"/>
      <c r="F35" s="10"/>
      <c r="G35" s="10"/>
      <c r="H35" s="11"/>
      <c r="I35" s="12"/>
      <c r="J35" s="11"/>
      <c r="K35" s="11"/>
      <c r="L35" s="37"/>
      <c r="M35" s="13"/>
      <c r="N35" s="45"/>
      <c r="O35" s="50"/>
    </row>
    <row r="36" spans="2:15" ht="39.9" customHeight="1" x14ac:dyDescent="0.15">
      <c r="B36" s="8"/>
      <c r="C36" s="9"/>
      <c r="D36" s="9"/>
      <c r="E36" s="10"/>
      <c r="F36" s="10"/>
      <c r="G36" s="10"/>
      <c r="H36" s="11"/>
      <c r="I36" s="12"/>
      <c r="J36" s="11"/>
      <c r="K36" s="11"/>
      <c r="L36" s="37"/>
      <c r="M36" s="13"/>
      <c r="N36" s="45"/>
      <c r="O36" s="50"/>
    </row>
    <row r="37" spans="2:15" ht="39.9" customHeight="1" x14ac:dyDescent="0.15">
      <c r="B37" s="14"/>
      <c r="C37" s="9"/>
      <c r="D37" s="15"/>
      <c r="E37" s="16"/>
      <c r="F37" s="16"/>
      <c r="G37" s="16"/>
      <c r="H37" s="17"/>
      <c r="I37" s="18"/>
      <c r="J37" s="17"/>
      <c r="K37" s="17"/>
      <c r="L37" s="24"/>
      <c r="M37" s="19"/>
      <c r="N37" s="45"/>
      <c r="O37" s="50"/>
    </row>
    <row r="38" spans="2:15" ht="39.9" customHeight="1" x14ac:dyDescent="0.15">
      <c r="B38" s="8"/>
      <c r="C38" s="9"/>
      <c r="D38" s="9"/>
      <c r="E38" s="10"/>
      <c r="F38" s="10"/>
      <c r="G38" s="10"/>
      <c r="H38" s="11"/>
      <c r="I38" s="12"/>
      <c r="J38" s="11"/>
      <c r="K38" s="11"/>
      <c r="L38" s="37"/>
      <c r="M38" s="13"/>
      <c r="N38" s="45"/>
      <c r="O38" s="50"/>
    </row>
    <row r="39" spans="2:15" ht="39.9" customHeight="1" x14ac:dyDescent="0.15">
      <c r="B39" s="14"/>
      <c r="C39" s="9"/>
      <c r="D39" s="15"/>
      <c r="E39" s="16"/>
      <c r="F39" s="16"/>
      <c r="G39" s="16"/>
      <c r="H39" s="17"/>
      <c r="I39" s="18"/>
      <c r="J39" s="17"/>
      <c r="K39" s="17"/>
      <c r="L39" s="24"/>
      <c r="M39" s="19"/>
      <c r="N39" s="45"/>
      <c r="O39" s="50"/>
    </row>
    <row r="40" spans="2:15" ht="39.9" customHeight="1" x14ac:dyDescent="0.15">
      <c r="B40" s="8"/>
      <c r="C40" s="9"/>
      <c r="D40" s="15"/>
      <c r="E40" s="16"/>
      <c r="F40" s="10"/>
      <c r="G40" s="10"/>
      <c r="H40" s="11"/>
      <c r="I40" s="12"/>
      <c r="J40" s="11"/>
      <c r="K40" s="11"/>
      <c r="L40" s="37"/>
      <c r="M40" s="13"/>
      <c r="N40" s="45"/>
      <c r="O40" s="50"/>
    </row>
    <row r="41" spans="2:15" ht="39.9" customHeight="1" x14ac:dyDescent="0.15">
      <c r="B41" s="8"/>
      <c r="C41" s="9"/>
      <c r="D41" s="15"/>
      <c r="E41" s="16"/>
      <c r="F41" s="10"/>
      <c r="G41" s="10"/>
      <c r="H41" s="11"/>
      <c r="I41" s="12"/>
      <c r="J41" s="11"/>
      <c r="K41" s="11"/>
      <c r="L41" s="37"/>
      <c r="M41" s="13"/>
      <c r="N41" s="45"/>
      <c r="O41" s="50"/>
    </row>
    <row r="42" spans="2:15" ht="39.9" customHeight="1" x14ac:dyDescent="0.15">
      <c r="B42" s="14"/>
      <c r="C42" s="9"/>
      <c r="D42" s="15"/>
      <c r="E42" s="16"/>
      <c r="F42" s="16"/>
      <c r="G42" s="16"/>
      <c r="H42" s="17"/>
      <c r="I42" s="18"/>
      <c r="J42" s="17"/>
      <c r="K42" s="17"/>
      <c r="L42" s="24"/>
      <c r="M42" s="19"/>
      <c r="N42" s="44"/>
      <c r="O42" s="50"/>
    </row>
    <row r="43" spans="2:15" ht="39.9" customHeight="1" x14ac:dyDescent="0.15">
      <c r="B43" s="14"/>
      <c r="C43" s="9"/>
      <c r="D43" s="15"/>
      <c r="E43" s="16"/>
      <c r="F43" s="16"/>
      <c r="G43" s="16"/>
      <c r="H43" s="17"/>
      <c r="I43" s="18"/>
      <c r="J43" s="17"/>
      <c r="K43" s="17"/>
      <c r="L43" s="24"/>
      <c r="M43" s="19"/>
      <c r="N43" s="46"/>
      <c r="O43" s="50"/>
    </row>
    <row r="44" spans="2:15" ht="39.9" customHeight="1" x14ac:dyDescent="0.15">
      <c r="B44" s="14"/>
      <c r="C44" s="9"/>
      <c r="D44" s="15"/>
      <c r="E44" s="16"/>
      <c r="F44" s="16"/>
      <c r="G44" s="16"/>
      <c r="H44" s="17"/>
      <c r="I44" s="18"/>
      <c r="J44" s="17"/>
      <c r="K44" s="17"/>
      <c r="L44" s="24"/>
      <c r="M44" s="19"/>
      <c r="N44" s="44"/>
      <c r="O44" s="50"/>
    </row>
    <row r="45" spans="2:15" ht="39.9" customHeight="1" x14ac:dyDescent="0.15">
      <c r="B45" s="14"/>
      <c r="C45" s="9"/>
      <c r="D45" s="15"/>
      <c r="E45" s="16"/>
      <c r="F45" s="16"/>
      <c r="G45" s="16"/>
      <c r="H45" s="17"/>
      <c r="I45" s="18"/>
      <c r="J45" s="17"/>
      <c r="K45" s="17"/>
      <c r="L45" s="24"/>
      <c r="M45" s="19"/>
      <c r="N45" s="44"/>
      <c r="O45" s="49"/>
    </row>
    <row r="46" spans="2:15" ht="39.9" customHeight="1" x14ac:dyDescent="0.15">
      <c r="B46" s="21"/>
      <c r="D46" s="21"/>
      <c r="E46" s="22"/>
      <c r="F46" s="22"/>
      <c r="G46" s="22"/>
      <c r="H46" s="23"/>
      <c r="I46" s="24"/>
      <c r="J46" s="17"/>
      <c r="K46" s="17"/>
      <c r="L46" s="24"/>
      <c r="M46" s="25"/>
      <c r="N46" s="47"/>
      <c r="O46" s="50"/>
    </row>
    <row r="47" spans="2:15" ht="39.9" customHeight="1" x14ac:dyDescent="0.15">
      <c r="B47" s="21"/>
      <c r="D47" s="21"/>
      <c r="E47" s="22"/>
      <c r="F47" s="22"/>
      <c r="G47" s="22"/>
      <c r="H47" s="26"/>
      <c r="I47" s="24"/>
      <c r="J47" s="17"/>
      <c r="K47" s="17"/>
      <c r="L47" s="24"/>
      <c r="M47" s="25"/>
      <c r="N47" s="47"/>
      <c r="O47" s="50"/>
    </row>
    <row r="48" spans="2:15" ht="39.9" customHeight="1" x14ac:dyDescent="0.15">
      <c r="B48" s="21"/>
      <c r="D48" s="21"/>
      <c r="E48" s="22"/>
      <c r="F48" s="22"/>
      <c r="G48" s="22"/>
      <c r="H48" s="27"/>
      <c r="I48" s="18"/>
      <c r="J48" s="17"/>
      <c r="K48" s="17"/>
      <c r="L48" s="24"/>
      <c r="M48" s="25"/>
      <c r="N48" s="47"/>
      <c r="O48" s="50"/>
    </row>
    <row r="49" spans="2:15" ht="39.9" customHeight="1" x14ac:dyDescent="0.15">
      <c r="B49" s="21"/>
      <c r="D49" s="21"/>
      <c r="E49" s="22"/>
      <c r="F49" s="22"/>
      <c r="G49" s="22"/>
      <c r="H49" s="27"/>
      <c r="I49" s="18"/>
      <c r="J49" s="17"/>
      <c r="K49" s="17"/>
      <c r="L49" s="24"/>
      <c r="M49" s="25"/>
      <c r="N49" s="47"/>
      <c r="O49" s="50"/>
    </row>
    <row r="50" spans="2:15" ht="39.9" customHeight="1" x14ac:dyDescent="0.15">
      <c r="B50" s="21"/>
      <c r="D50" s="21"/>
      <c r="E50" s="22"/>
      <c r="F50" s="22"/>
      <c r="G50" s="22"/>
      <c r="H50" s="27"/>
      <c r="I50" s="18"/>
      <c r="J50" s="17"/>
      <c r="K50" s="17"/>
      <c r="L50" s="24"/>
      <c r="M50" s="25"/>
      <c r="N50" s="47"/>
      <c r="O50" s="50"/>
    </row>
    <row r="51" spans="2:15" ht="39.9" customHeight="1" x14ac:dyDescent="0.15">
      <c r="B51" s="21"/>
      <c r="D51" s="21"/>
      <c r="E51" s="22"/>
      <c r="F51" s="22"/>
      <c r="G51" s="22"/>
      <c r="H51" s="27"/>
      <c r="I51" s="18"/>
      <c r="J51" s="17"/>
      <c r="K51" s="17"/>
      <c r="L51" s="24"/>
      <c r="M51" s="25"/>
      <c r="N51" s="47"/>
      <c r="O51" s="50"/>
    </row>
    <row r="52" spans="2:15" ht="39.9" customHeight="1" x14ac:dyDescent="0.15">
      <c r="B52" s="21"/>
      <c r="D52" s="21"/>
      <c r="E52" s="22"/>
      <c r="F52" s="22"/>
      <c r="G52" s="22"/>
      <c r="H52" s="27"/>
      <c r="I52" s="18"/>
      <c r="J52" s="17"/>
      <c r="K52" s="17"/>
      <c r="L52" s="24"/>
      <c r="M52" s="28"/>
      <c r="N52" s="47"/>
      <c r="O52" s="49"/>
    </row>
    <row r="53" spans="2:15" ht="39.9" customHeight="1" x14ac:dyDescent="0.15">
      <c r="B53" s="21"/>
      <c r="D53" s="21"/>
      <c r="E53" s="22"/>
      <c r="F53" s="22"/>
      <c r="G53" s="22"/>
      <c r="H53" s="27"/>
      <c r="I53" s="18"/>
      <c r="J53" s="17"/>
      <c r="K53" s="17"/>
      <c r="L53" s="24"/>
      <c r="M53" s="25"/>
      <c r="N53" s="47"/>
      <c r="O53" s="49"/>
    </row>
    <row r="54" spans="2:15" ht="39.9" customHeight="1" x14ac:dyDescent="0.15">
      <c r="B54" s="21"/>
      <c r="D54" s="21"/>
      <c r="E54" s="22"/>
      <c r="F54" s="22"/>
      <c r="G54" s="22"/>
      <c r="H54" s="27"/>
      <c r="I54" s="18"/>
      <c r="J54" s="17"/>
      <c r="K54" s="17"/>
      <c r="L54" s="24"/>
      <c r="M54" s="25"/>
      <c r="N54" s="47"/>
      <c r="O54" s="50"/>
    </row>
    <row r="55" spans="2:15" ht="39.9" customHeight="1" x14ac:dyDescent="0.15">
      <c r="B55" s="21"/>
      <c r="D55" s="21"/>
      <c r="E55" s="22"/>
      <c r="F55" s="22"/>
      <c r="G55" s="22"/>
      <c r="H55" s="27"/>
      <c r="I55" s="18"/>
      <c r="J55" s="17"/>
      <c r="K55" s="17"/>
      <c r="L55" s="24"/>
      <c r="M55" s="25"/>
      <c r="N55" s="47"/>
      <c r="O55" s="50"/>
    </row>
    <row r="56" spans="2:15" ht="39.9" customHeight="1" x14ac:dyDescent="0.15">
      <c r="B56" s="21"/>
      <c r="D56" s="29"/>
      <c r="E56" s="22"/>
      <c r="F56" s="22"/>
      <c r="G56" s="22"/>
      <c r="H56" s="27"/>
      <c r="I56" s="18"/>
      <c r="J56" s="17"/>
      <c r="K56" s="17"/>
      <c r="L56" s="24"/>
      <c r="M56" s="25"/>
      <c r="N56" s="47"/>
      <c r="O56" s="50"/>
    </row>
    <row r="57" spans="2:15" ht="39.9" customHeight="1" x14ac:dyDescent="0.15">
      <c r="B57" s="21"/>
      <c r="D57" s="29"/>
      <c r="E57" s="22"/>
      <c r="F57" s="22"/>
      <c r="G57" s="22"/>
      <c r="H57" s="27"/>
      <c r="I57" s="18"/>
      <c r="J57" s="17"/>
      <c r="K57" s="17"/>
      <c r="L57" s="24"/>
      <c r="M57" s="25"/>
      <c r="N57" s="47"/>
      <c r="O57" s="50"/>
    </row>
    <row r="58" spans="2:15" ht="39.9" customHeight="1" x14ac:dyDescent="0.15">
      <c r="B58" s="21"/>
      <c r="D58" s="29"/>
      <c r="E58" s="22"/>
      <c r="F58" s="22"/>
      <c r="G58" s="22"/>
      <c r="H58" s="27"/>
      <c r="I58" s="18"/>
      <c r="J58" s="17"/>
      <c r="K58" s="17"/>
      <c r="L58" s="24"/>
      <c r="M58" s="25"/>
      <c r="N58" s="47"/>
      <c r="O58" s="50"/>
    </row>
    <row r="59" spans="2:15" ht="39.9" customHeight="1" x14ac:dyDescent="0.15">
      <c r="B59" s="21"/>
      <c r="D59" s="29"/>
      <c r="E59" s="22"/>
      <c r="F59" s="22"/>
      <c r="G59" s="22"/>
      <c r="H59" s="27"/>
      <c r="I59" s="18"/>
      <c r="J59" s="17"/>
      <c r="K59" s="17"/>
      <c r="L59" s="24"/>
      <c r="M59" s="25"/>
      <c r="N59" s="47"/>
      <c r="O59" s="50"/>
    </row>
    <row r="60" spans="2:15" ht="39.9" customHeight="1" x14ac:dyDescent="0.15">
      <c r="B60" s="21"/>
      <c r="D60" s="29"/>
      <c r="E60" s="22"/>
      <c r="F60" s="22"/>
      <c r="G60" s="22"/>
      <c r="H60" s="27"/>
      <c r="I60" s="18"/>
      <c r="J60" s="17"/>
      <c r="K60" s="17"/>
      <c r="L60" s="24"/>
      <c r="M60" s="25"/>
      <c r="N60" s="47"/>
      <c r="O60" s="50"/>
    </row>
    <row r="61" spans="2:15" ht="39.9" customHeight="1" x14ac:dyDescent="0.15">
      <c r="B61" s="21"/>
      <c r="D61" s="29"/>
      <c r="E61" s="22"/>
      <c r="F61" s="22"/>
      <c r="G61" s="22"/>
      <c r="H61" s="27"/>
      <c r="I61" s="18"/>
      <c r="J61" s="17"/>
      <c r="K61" s="17"/>
      <c r="L61" s="24"/>
      <c r="M61" s="25"/>
      <c r="N61" s="47"/>
      <c r="O61" s="50"/>
    </row>
    <row r="62" spans="2:15" ht="39.9" customHeight="1" x14ac:dyDescent="0.15">
      <c r="B62" s="21"/>
      <c r="D62" s="29"/>
      <c r="E62" s="22"/>
      <c r="F62" s="22"/>
      <c r="G62" s="22"/>
      <c r="H62" s="27"/>
      <c r="I62" s="18"/>
      <c r="J62" s="17"/>
      <c r="K62" s="17"/>
      <c r="L62" s="24"/>
      <c r="M62" s="25"/>
      <c r="N62" s="47"/>
      <c r="O62" s="50"/>
    </row>
    <row r="63" spans="2:15" ht="39.9" customHeight="1" x14ac:dyDescent="0.15">
      <c r="B63" s="21"/>
      <c r="D63" s="29"/>
      <c r="E63" s="22"/>
      <c r="F63" s="22"/>
      <c r="G63" s="22"/>
      <c r="H63" s="27"/>
      <c r="I63" s="18"/>
      <c r="J63" s="17"/>
      <c r="K63" s="17"/>
      <c r="L63" s="24"/>
      <c r="M63" s="25"/>
      <c r="N63" s="47"/>
      <c r="O63" s="50"/>
    </row>
    <row r="64" spans="2:15" ht="39.9" customHeight="1" x14ac:dyDescent="0.15">
      <c r="B64" s="21"/>
      <c r="D64" s="29"/>
      <c r="E64" s="22"/>
      <c r="F64" s="22"/>
      <c r="G64" s="22"/>
      <c r="H64" s="27"/>
      <c r="I64" s="18"/>
      <c r="J64" s="17"/>
      <c r="K64" s="17"/>
      <c r="L64" s="24"/>
      <c r="M64" s="25"/>
      <c r="N64" s="47"/>
      <c r="O64" s="50"/>
    </row>
    <row r="65" spans="2:15" ht="39.9" customHeight="1" x14ac:dyDescent="0.15">
      <c r="B65" s="21"/>
      <c r="D65" s="21"/>
      <c r="E65" s="22"/>
      <c r="F65" s="22"/>
      <c r="G65" s="22"/>
      <c r="H65" s="27"/>
      <c r="I65" s="18"/>
      <c r="J65" s="17"/>
      <c r="K65" s="17"/>
      <c r="L65" s="24"/>
      <c r="M65" s="25"/>
      <c r="N65" s="47"/>
      <c r="O65" s="50"/>
    </row>
    <row r="66" spans="2:15" ht="39.9" customHeight="1" x14ac:dyDescent="0.15">
      <c r="B66" s="21"/>
      <c r="D66" s="21"/>
      <c r="E66" s="22"/>
      <c r="F66" s="22"/>
      <c r="G66" s="22"/>
      <c r="H66" s="27"/>
      <c r="I66" s="18"/>
      <c r="J66" s="17"/>
      <c r="K66" s="17"/>
      <c r="L66" s="24"/>
      <c r="M66" s="25"/>
      <c r="N66" s="47"/>
      <c r="O66" s="50"/>
    </row>
    <row r="67" spans="2:15" ht="39.9" customHeight="1" x14ac:dyDescent="0.15">
      <c r="B67" s="21"/>
      <c r="D67" s="21"/>
      <c r="E67" s="22"/>
      <c r="F67" s="22"/>
      <c r="G67" s="22"/>
      <c r="H67" s="27"/>
      <c r="I67" s="18"/>
      <c r="J67" s="17"/>
      <c r="K67" s="17"/>
      <c r="L67" s="24"/>
      <c r="M67" s="25"/>
      <c r="N67" s="47"/>
      <c r="O67" s="50"/>
    </row>
    <row r="68" spans="2:15" ht="39.9" customHeight="1" x14ac:dyDescent="0.15">
      <c r="B68" s="21"/>
      <c r="D68" s="21"/>
      <c r="E68" s="22"/>
      <c r="F68" s="22"/>
      <c r="G68" s="22"/>
      <c r="H68" s="27"/>
      <c r="I68" s="18"/>
      <c r="J68" s="17"/>
      <c r="K68" s="17"/>
      <c r="L68" s="24"/>
      <c r="M68" s="25"/>
      <c r="N68" s="47"/>
      <c r="O68" s="50"/>
    </row>
    <row r="69" spans="2:15" ht="39.9" customHeight="1" x14ac:dyDescent="0.15">
      <c r="B69" s="21"/>
      <c r="D69" s="21"/>
      <c r="E69" s="22"/>
      <c r="F69" s="22"/>
      <c r="G69" s="22"/>
      <c r="H69" s="27"/>
      <c r="I69" s="18"/>
      <c r="J69" s="17"/>
      <c r="K69" s="17"/>
      <c r="L69" s="24"/>
      <c r="M69" s="25"/>
      <c r="N69" s="47"/>
      <c r="O69" s="50"/>
    </row>
    <row r="70" spans="2:15" ht="39.9" customHeight="1" x14ac:dyDescent="0.15">
      <c r="B70" s="21"/>
      <c r="D70" s="21"/>
      <c r="E70" s="22"/>
      <c r="F70" s="22"/>
      <c r="G70" s="22"/>
      <c r="H70" s="27"/>
      <c r="I70" s="18"/>
      <c r="J70" s="17"/>
      <c r="K70" s="17"/>
      <c r="L70" s="24"/>
      <c r="M70" s="25"/>
      <c r="N70" s="47"/>
      <c r="O70" s="50"/>
    </row>
    <row r="71" spans="2:15" ht="39.9" customHeight="1" x14ac:dyDescent="0.15">
      <c r="B71" s="21"/>
      <c r="D71" s="21"/>
      <c r="E71" s="22"/>
      <c r="F71" s="22"/>
      <c r="G71" s="22"/>
      <c r="H71" s="27"/>
      <c r="I71" s="18"/>
      <c r="J71" s="17"/>
      <c r="K71" s="17"/>
      <c r="L71" s="24"/>
      <c r="M71" s="25"/>
      <c r="N71" s="47"/>
      <c r="O71" s="50"/>
    </row>
    <row r="72" spans="2:15" ht="39.9" customHeight="1" x14ac:dyDescent="0.15">
      <c r="B72" s="21"/>
      <c r="D72" s="21"/>
      <c r="E72" s="22"/>
      <c r="F72" s="22"/>
      <c r="G72" s="22"/>
      <c r="H72" s="27"/>
      <c r="I72" s="18"/>
      <c r="J72" s="17"/>
      <c r="K72" s="17"/>
      <c r="L72" s="24"/>
      <c r="M72" s="25"/>
      <c r="N72" s="47"/>
      <c r="O72" s="50"/>
    </row>
    <row r="73" spans="2:15" ht="39.9" customHeight="1" x14ac:dyDescent="0.15">
      <c r="B73" s="21"/>
      <c r="D73" s="21"/>
      <c r="E73" s="22"/>
      <c r="F73" s="22"/>
      <c r="G73" s="22"/>
      <c r="H73" s="27"/>
      <c r="I73" s="18"/>
      <c r="J73" s="17"/>
      <c r="K73" s="17"/>
      <c r="L73" s="24"/>
      <c r="M73" s="25"/>
      <c r="N73" s="47"/>
      <c r="O73" s="50"/>
    </row>
    <row r="74" spans="2:15" ht="39.9" customHeight="1" x14ac:dyDescent="0.15">
      <c r="B74" s="21"/>
      <c r="D74" s="21"/>
      <c r="E74" s="22"/>
      <c r="F74" s="22"/>
      <c r="G74" s="22"/>
      <c r="H74" s="27"/>
      <c r="I74" s="24"/>
      <c r="J74" s="17"/>
      <c r="K74" s="17"/>
      <c r="L74" s="24"/>
      <c r="M74" s="25"/>
      <c r="N74" s="47"/>
      <c r="O74" s="50"/>
    </row>
  </sheetData>
  <autoFilter ref="B3:O64" xr:uid="{00000000-0009-0000-0000-000000000000}"/>
  <phoneticPr fontId="3"/>
  <conditionalFormatting sqref="A4:I4">
    <cfRule type="expression" dxfId="6" priority="19" stopIfTrue="1">
      <formula>$O4="済"</formula>
    </cfRule>
  </conditionalFormatting>
  <conditionalFormatting sqref="A4:XFD45">
    <cfRule type="expression" dxfId="5" priority="2" stopIfTrue="1">
      <formula>AND(ISBLANK($L4),$I4&lt;TODAY())</formula>
    </cfRule>
  </conditionalFormatting>
  <conditionalFormatting sqref="A47:XFD74">
    <cfRule type="expression" dxfId="4" priority="10" stopIfTrue="1">
      <formula>AND(ISBLANK($L47),$I47&lt;TODAY())</formula>
    </cfRule>
  </conditionalFormatting>
  <conditionalFormatting sqref="B1">
    <cfRule type="expression" dxfId="3" priority="12" stopIfTrue="1">
      <formula>AND(ISBLANK($L1),$I1&lt;TODAY())</formula>
    </cfRule>
  </conditionalFormatting>
  <conditionalFormatting sqref="B1:IY3">
    <cfRule type="expression" dxfId="2" priority="11" stopIfTrue="1">
      <formula>$O1="済"</formula>
    </cfRule>
  </conditionalFormatting>
  <conditionalFormatting sqref="C1:IY3 B2:B3 A46:XFD46 A75:XFD65536">
    <cfRule type="expression" dxfId="1" priority="14" stopIfTrue="1">
      <formula>AND(ISBLANK($L1),$I1&lt;TODAY())</formula>
    </cfRule>
  </conditionalFormatting>
  <conditionalFormatting sqref="J4:XFD4 A5:XFD65536">
    <cfRule type="expression" dxfId="0" priority="1" stopIfTrue="1">
      <formula>$O4="済"</formula>
    </cfRule>
  </conditionalFormatting>
  <dataValidations count="1">
    <dataValidation type="list" allowBlank="1" showDropDown="1" showInputMessage="1" showErrorMessage="1" sqref="O1:O1048576" xr:uid="{00000000-0002-0000-0000-000000000000}">
      <formula1>"済"</formula1>
    </dataValidation>
  </dataValidations>
  <pageMargins left="0.19685039370078741" right="0.19685039370078741" top="0.59055118110236227" bottom="0.59055118110236227" header="0.31496062992125984" footer="0.35433070866141736"/>
  <pageSetup paperSize="9" scale="58" orientation="landscape" r:id="rId1"/>
  <headerFooter alignWithMargins="0">
    <oddHeader>&amp;L&amp;12群馬銀行様　取引履歴検索システム更改&amp;R&amp;D</oddHeader>
    <oddFooter>&amp;C&amp;P/&amp;N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2</vt:i4>
      </vt:variant>
    </vt:vector>
  </HeadingPairs>
  <TitlesOfParts>
    <vt:vector size="3" baseType="lpstr">
      <vt:lpstr>QA管理表</vt:lpstr>
      <vt:lpstr>QA管理表!Print_Area</vt:lpstr>
      <vt:lpstr>QA管理表!Print_Titles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yamada satoshi(山田 智 ＴＤＳＬ （ＳＬＣ）［金融Ｓ］（銀Ｓ１）)</dc:creator>
  <cp:lastModifiedBy>長岡 海帆</cp:lastModifiedBy>
  <cp:lastPrinted>2019-09-17T01:13:37Z</cp:lastPrinted>
  <dcterms:created xsi:type="dcterms:W3CDTF">2011-02-09T04:31:48Z</dcterms:created>
  <dcterms:modified xsi:type="dcterms:W3CDTF">2026-04-15T08:34:46Z</dcterms:modified>
</cp:coreProperties>
</file>