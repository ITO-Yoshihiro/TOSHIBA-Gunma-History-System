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C:\Users\nagaoka0116\Downloads\ＱＡ課題管理表（更改対応）内部_20260507\"/>
    </mc:Choice>
  </mc:AlternateContent>
  <xr:revisionPtr revIDLastSave="0" documentId="13_ncr:1_{468327EC-E3ED-4B0C-9F90-AE03D995BBD0}" xr6:coauthVersionLast="47" xr6:coauthVersionMax="47" xr10:uidLastSave="{00000000-0000-0000-0000-000000000000}"/>
  <bookViews>
    <workbookView xWindow="28680" yWindow="-120" windowWidth="29040" windowHeight="15720" xr2:uid="{00000000-000D-0000-FFFF-FFFF00000000}"/>
  </bookViews>
  <sheets>
    <sheet name="QA管理表" sheetId="1" r:id="rId1"/>
    <sheet name="SVF動作環境" sheetId="2" r:id="rId2"/>
  </sheets>
  <definedNames>
    <definedName name="_xlnm._FilterDatabase" localSheetId="0" hidden="1">QA管理表!$B$3:$O$64</definedName>
    <definedName name="_xlnm.Print_Area" localSheetId="0">QA管理表!$B$1:$M$19</definedName>
    <definedName name="_xlnm.Print_Titles" localSheetId="0">QA管理表!$1:$3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B14" i="1"/>
  <c r="B13" i="1"/>
  <c r="B12" i="1"/>
  <c r="B11" i="1" l="1"/>
  <c r="B10" i="1" l="1"/>
  <c r="B9" i="1"/>
  <c r="B5" i="1" l="1"/>
  <c r="B6" i="1" s="1"/>
  <c r="B7" i="1" s="1"/>
  <c r="B8" i="1" s="1"/>
  <c r="I1" i="1" l="1"/>
  <c r="L1" i="1" s="1"/>
</calcChain>
</file>

<file path=xl/sharedStrings.xml><?xml version="1.0" encoding="utf-8"?>
<sst xmlns="http://schemas.openxmlformats.org/spreadsheetml/2006/main" count="97" uniqueCount="66">
  <si>
    <t>回答者</t>
    <rPh sb="0" eb="2">
      <t>カイトウ</t>
    </rPh>
    <rPh sb="2" eb="3">
      <t>シャ</t>
    </rPh>
    <phoneticPr fontId="4"/>
  </si>
  <si>
    <t>質問者</t>
    <rPh sb="0" eb="3">
      <t>シツモンシャ</t>
    </rPh>
    <phoneticPr fontId="5"/>
  </si>
  <si>
    <t>残件数：</t>
  </si>
  <si>
    <t>完了後、
両社確認した課題をグレーアウト</t>
    <rPh sb="0" eb="2">
      <t>カンリョウ</t>
    </rPh>
    <rPh sb="2" eb="3">
      <t>ゴ</t>
    </rPh>
    <rPh sb="5" eb="7">
      <t>リョウシャ</t>
    </rPh>
    <rPh sb="7" eb="9">
      <t>カクニン</t>
    </rPh>
    <rPh sb="11" eb="13">
      <t>カダイ</t>
    </rPh>
    <phoneticPr fontId="5"/>
  </si>
  <si>
    <t xml:space="preserve"> </t>
    <phoneticPr fontId="5"/>
  </si>
  <si>
    <t>No</t>
  </si>
  <si>
    <t>区分</t>
    <rPh sb="0" eb="2">
      <t>クブン</t>
    </rPh>
    <phoneticPr fontId="5"/>
  </si>
  <si>
    <t>発生</t>
  </si>
  <si>
    <t>内    容</t>
    <phoneticPr fontId="5"/>
  </si>
  <si>
    <t>期限</t>
    <rPh sb="0" eb="2">
      <t>キゲン</t>
    </rPh>
    <phoneticPr fontId="5"/>
  </si>
  <si>
    <t>状況／結果</t>
    <rPh sb="0" eb="2">
      <t>ジョウキョウ</t>
    </rPh>
    <rPh sb="3" eb="4">
      <t>ケツ</t>
    </rPh>
    <rPh sb="4" eb="5">
      <t>カ</t>
    </rPh>
    <phoneticPr fontId="5"/>
  </si>
  <si>
    <t>完了</t>
  </si>
  <si>
    <t>備　　考</t>
    <rPh sb="0" eb="1">
      <t>ソナエ</t>
    </rPh>
    <rPh sb="3" eb="4">
      <t>コウ</t>
    </rPh>
    <phoneticPr fontId="5"/>
  </si>
  <si>
    <t>ﾌｪｰｽﾞ</t>
    <phoneticPr fontId="5"/>
  </si>
  <si>
    <t>ＱＡ管理表（社内用）</t>
    <rPh sb="2" eb="4">
      <t>カンリ</t>
    </rPh>
    <rPh sb="4" eb="5">
      <t>ヒョウ</t>
    </rPh>
    <rPh sb="6" eb="8">
      <t>シャナイ</t>
    </rPh>
    <rPh sb="8" eb="9">
      <t>ヨウ</t>
    </rPh>
    <phoneticPr fontId="5"/>
  </si>
  <si>
    <t>東芝
五藤</t>
    <rPh sb="0" eb="2">
      <t>トウシバ</t>
    </rPh>
    <rPh sb="3" eb="5">
      <t>ゴトウ</t>
    </rPh>
    <phoneticPr fontId="4"/>
  </si>
  <si>
    <t>分類</t>
    <rPh sb="0" eb="2">
      <t>ブンルイ</t>
    </rPh>
    <phoneticPr fontId="4"/>
  </si>
  <si>
    <t>見積</t>
    <rPh sb="0" eb="1">
      <t>ミツモリ</t>
    </rPh>
    <phoneticPr fontId="4"/>
  </si>
  <si>
    <t>概要</t>
    <rPh sb="0" eb="2">
      <t>ガイヨウ</t>
    </rPh>
    <phoneticPr fontId="4"/>
  </si>
  <si>
    <t>Amazon RDS の構築</t>
    <rPh sb="11" eb="13">
      <t>コウチク</t>
    </rPh>
    <phoneticPr fontId="4"/>
  </si>
  <si>
    <t>見積</t>
    <phoneticPr fontId="4"/>
  </si>
  <si>
    <t xml:space="preserve">データ移行の対象として、以下の操作証跡関連テーブルを含むでしょうか。現在は含まない前提の場合、含めることにより工数はどの程度変動するでしょうか。
データ移行に加えて、受付番号の初期値の調整が必要と考えます。
　・操作証跡一覧
　・操作証跡帳票
　・操作証跡検索条件
</t>
    <phoneticPr fontId="4"/>
  </si>
  <si>
    <t>操作証跡関連テーブルのデータ移行</t>
    <phoneticPr fontId="4"/>
  </si>
  <si>
    <t>環境構築のうち、「Amazon RDS」については初期構築を含め、社内で対応が必要であることが判明しました。
（お客様に構築を依頼可能であるのは、AWSアカウント発行、VPC作成、行内LAN接続、EC2作成、OS初期設定など）
見積項目「本番機構築」へ「Amazon RDS」の初期構築（新規作成）を含めた場合、工数への影響はあるでしょうか、「影響あり」の場合、どの程度でしょうか。
なお、環境構築時に必要となるパラメータシートの情報は、お渡しします。</t>
    <rPh sb="0" eb="2">
      <t>カンキョウ</t>
    </rPh>
    <rPh sb="2" eb="4">
      <t>コウチク</t>
    </rPh>
    <rPh sb="25" eb="27">
      <t>ショキ</t>
    </rPh>
    <rPh sb="27" eb="29">
      <t>コウチク</t>
    </rPh>
    <rPh sb="30" eb="31">
      <t>フク</t>
    </rPh>
    <rPh sb="33" eb="35">
      <t>シャナイ</t>
    </rPh>
    <rPh sb="36" eb="38">
      <t>タイオウ</t>
    </rPh>
    <rPh sb="39" eb="41">
      <t>ヒツヨウ</t>
    </rPh>
    <rPh sb="47" eb="49">
      <t>ハンメイ</t>
    </rPh>
    <rPh sb="57" eb="59">
      <t>キャクサマ</t>
    </rPh>
    <rPh sb="60" eb="62">
      <t>コウチク</t>
    </rPh>
    <rPh sb="63" eb="65">
      <t>イライ</t>
    </rPh>
    <rPh sb="65" eb="67">
      <t>カノウ</t>
    </rPh>
    <rPh sb="115" eb="117">
      <t>ミツモリ</t>
    </rPh>
    <rPh sb="117" eb="119">
      <t>コウモク</t>
    </rPh>
    <rPh sb="145" eb="147">
      <t>シンキ</t>
    </rPh>
    <rPh sb="147" eb="149">
      <t>サクセイ</t>
    </rPh>
    <rPh sb="151" eb="152">
      <t>フク</t>
    </rPh>
    <rPh sb="154" eb="156">
      <t>バアイ</t>
    </rPh>
    <rPh sb="157" eb="159">
      <t>コウスウ</t>
    </rPh>
    <rPh sb="161" eb="163">
      <t>エイキョウ</t>
    </rPh>
    <rPh sb="173" eb="175">
      <t>エイキョウ</t>
    </rPh>
    <rPh sb="179" eb="181">
      <t>バアイ</t>
    </rPh>
    <rPh sb="184" eb="186">
      <t>テイド</t>
    </rPh>
    <rPh sb="196" eb="198">
      <t>カンキョウ</t>
    </rPh>
    <rPh sb="198" eb="201">
      <t>コウチクジ</t>
    </rPh>
    <rPh sb="202" eb="204">
      <t>ヒツヨウ</t>
    </rPh>
    <rPh sb="216" eb="218">
      <t>ジョウホウ</t>
    </rPh>
    <rPh sb="221" eb="222">
      <t>ワタ</t>
    </rPh>
    <phoneticPr fontId="4"/>
  </si>
  <si>
    <t>バックアップ設定</t>
    <rPh sb="5" eb="7">
      <t>セッテイ</t>
    </rPh>
    <phoneticPr fontId="4"/>
  </si>
  <si>
    <t>以下のバックアップ設定とした場合、見積項目「本番機構築」などの工数はどの程度変動するでしょうか。
1. EC2
Amazon Data Lifecycle Manager (DLM) を使用して、スナップショットを日次で自動取得（※1、※2）。
※1. バックアップ取得時に静止点を設けず、仮想サーバーが起動した状態で取得する。
2. RDS
RDS の自動バックアップ機能（日次でスナップショットを取得）を使用する（※2）。
※2. ただし、「AWS Backup」の設定により、毎月１日に取得するバックアップ（スナップショット）は１年間保存する。</t>
    <rPh sb="0" eb="2">
      <t>イカ</t>
    </rPh>
    <rPh sb="9" eb="11">
      <t>セッテイ</t>
    </rPh>
    <rPh sb="14" eb="16">
      <t>バアイ</t>
    </rPh>
    <rPh sb="191" eb="193">
      <t>ニチジ</t>
    </rPh>
    <rPh sb="203" eb="205">
      <t>シュトク</t>
    </rPh>
    <rPh sb="239" eb="241">
      <t>セッテイ</t>
    </rPh>
    <phoneticPr fontId="4"/>
  </si>
  <si>
    <t>前提とするサーバのＯＳ</t>
    <rPh sb="0" eb="1">
      <t>ゼンテイ</t>
    </rPh>
    <phoneticPr fontId="4"/>
  </si>
  <si>
    <t>Ｗｅｂサーバ、プリントサーバのＯＳは「Windows Server 2019」の前提ですが、お客様がセキュリティの観点から「Windows Server 2022」の利用を希望しています。
仮に「Windows Server 2022」を利用する場合、見積への影響はいかがでしょうか。</t>
    <rPh sb="40" eb="42">
      <t>ゼンテイ</t>
    </rPh>
    <rPh sb="57" eb="59">
      <t>カンテン</t>
    </rPh>
    <rPh sb="83" eb="85">
      <t>リヨウ</t>
    </rPh>
    <rPh sb="86" eb="88">
      <t>キボウ</t>
    </rPh>
    <rPh sb="95" eb="96">
      <t>カリ</t>
    </rPh>
    <rPh sb="123" eb="125">
      <t>バアイ</t>
    </rPh>
    <rPh sb="126" eb="128">
      <t>ミツモリ</t>
    </rPh>
    <rPh sb="130" eb="132">
      <t>エイキョウ</t>
    </rPh>
    <phoneticPr fontId="4"/>
  </si>
  <si>
    <t>「セキュリティ機能チェックリスト、サーバーセキュリティガイドライン」への対応</t>
    <rPh sb="35" eb="37">
      <t>タイオウ</t>
    </rPh>
    <phoneticPr fontId="4"/>
  </si>
  <si>
    <t>環境構築時に以下チェックリスト、ガイドラインを満たす設定、設定していることを示すエビデンスが必要です。
現在の見積工数では不足する場合、追加をお願いします。
06_別紙３「セキュリティ機能チェックリスト」 .xls
　シート「セキュリティ機能CKリスト202205」
　シート「セキュリティ機能CKリスト(AWS版)202403」
07_別紙４「サーバーセキュリティガイドライン」.xls
　シート「2021.4.1版(Windows用)」
　シート「2021.4.1版(RHEL用)」</t>
    <rPh sb="4" eb="5">
      <t>ジ</t>
    </rPh>
    <rPh sb="6" eb="8">
      <t>イカ</t>
    </rPh>
    <rPh sb="23" eb="24">
      <t>ミ</t>
    </rPh>
    <rPh sb="26" eb="28">
      <t>セッテイ</t>
    </rPh>
    <rPh sb="29" eb="31">
      <t>セッテイ</t>
    </rPh>
    <rPh sb="38" eb="39">
      <t>シメ</t>
    </rPh>
    <rPh sb="46" eb="48">
      <t>ヒツヨウ</t>
    </rPh>
    <rPh sb="52" eb="54">
      <t>ゲンザイ</t>
    </rPh>
    <rPh sb="55" eb="57">
      <t>ミツモリ</t>
    </rPh>
    <rPh sb="57" eb="59">
      <t>コウスウ</t>
    </rPh>
    <rPh sb="61" eb="63">
      <t>フソク</t>
    </rPh>
    <rPh sb="65" eb="67">
      <t>バアイ</t>
    </rPh>
    <rPh sb="68" eb="70">
      <t>ツイカ</t>
    </rPh>
    <rPh sb="72" eb="73">
      <t>ネガ</t>
    </rPh>
    <phoneticPr fontId="4"/>
  </si>
  <si>
    <t>アドマックス
長岡</t>
    <rPh sb="7" eb="9">
      <t>ナガオカ</t>
    </rPh>
    <phoneticPr fontId="4"/>
  </si>
  <si>
    <t>送付済みの見積工数に操作証跡の移行工数も含まれているため、変動はありません。</t>
    <rPh sb="0" eb="2">
      <t>ソウフ</t>
    </rPh>
    <rPh sb="2" eb="3">
      <t>ズ</t>
    </rPh>
    <rPh sb="5" eb="7">
      <t>ミツモリ</t>
    </rPh>
    <rPh sb="7" eb="9">
      <t>コウスウ</t>
    </rPh>
    <rPh sb="10" eb="14">
      <t>ソウサショウセキ</t>
    </rPh>
    <rPh sb="15" eb="19">
      <t>イコウコウスウ</t>
    </rPh>
    <rPh sb="20" eb="21">
      <t>フク</t>
    </rPh>
    <rPh sb="29" eb="31">
      <t>ヘンドウ</t>
    </rPh>
    <phoneticPr fontId="4"/>
  </si>
  <si>
    <t>バックアップ設定およびエビデンス作成作業を除外した場合、単体工数として ＋3.0人日を想定します。
なお、パラメータ調整・ネットワーク設定変更・セキュリティ要件対応等が発生する場合は別途見積とさせていただきます。</t>
    <rPh sb="43" eb="45">
      <t>ソウテイ</t>
    </rPh>
    <rPh sb="93" eb="95">
      <t>ミツモリ</t>
    </rPh>
    <phoneticPr fontId="4"/>
  </si>
  <si>
    <t>「障害復旧手順書」の更新</t>
    <rPh sb="9" eb="11">
      <t>コウシン</t>
    </rPh>
    <phoneticPr fontId="4"/>
  </si>
  <si>
    <t>見積項目「その他（マニュアル更新、等）」に「障害復旧手順書」の更新を含むでしょうか。
現在の見積工数では不足する場合、追加をお願いします。
■更新予定のマニュアル、等
・操作マニュアル
・運用手順説明書
・障害復旧手順書</t>
    <rPh sb="0" eb="2">
      <t>ミツモリ</t>
    </rPh>
    <rPh sb="2" eb="4">
      <t>コウモク</t>
    </rPh>
    <rPh sb="31" eb="33">
      <t>コウシン</t>
    </rPh>
    <rPh sb="34" eb="35">
      <t>フク</t>
    </rPh>
    <rPh sb="74" eb="76">
      <t>ヨテイ</t>
    </rPh>
    <phoneticPr fontId="4"/>
  </si>
  <si>
    <t>※64 Windows Server 2016以降を利用する際の注意点については、以下のページをご参照ください。</t>
  </si>
  <si>
    <t>※76 Ver.9.2 Service Pack 8以降が適用されていることが前提です。</t>
  </si>
  <si>
    <t>※89 Ver.9.2 Service Pack 10以降を適用する必要があります。</t>
  </si>
  <si>
    <t>※92 11.0.14以降のJava11、または、Java17.0.2以降を利用している必要があります。</t>
  </si>
  <si>
    <t>SVF関連製品OS対応状況（サーバー製品）：Windows環境について</t>
  </si>
  <si>
    <t>https://cs.wingarc.com/ja/system_requirement/000007132</t>
  </si>
  <si>
    <t>※77 Amazon Corretto 8、または、Java11.0.4以降を利用している必要があります。</t>
    <phoneticPr fontId="4"/>
  </si>
  <si>
    <t>　　「Windows Server 2016以降でJava実行部 Ver.9.2を利用する場合の注意点について」［https://cs.wingarc.com/ja/kb/000015588］</t>
    <phoneticPr fontId="4"/>
  </si>
  <si>
    <t>「WebCube」について</t>
    <phoneticPr fontId="4"/>
  </si>
  <si>
    <t>想定する「WebCube Application Server Express V9.8」を購入することができず、代わりに「WebCube Application Server Express V11.2」を購入予定です。
製品の説明として以下の記載がありますが、工数への影響はいかがでしょうか。
　Java EE 8 / Java SE 11準拠のアプリケーションサーバ</t>
    <rPh sb="0" eb="2">
      <t>ソウテイ</t>
    </rPh>
    <rPh sb="46" eb="48">
      <t>コウニュウ</t>
    </rPh>
    <rPh sb="57" eb="58">
      <t>カ</t>
    </rPh>
    <rPh sb="104" eb="106">
      <t>コウニュウ</t>
    </rPh>
    <rPh sb="106" eb="108">
      <t>ヨテイ</t>
    </rPh>
    <rPh sb="112" eb="114">
      <t>セイヒン</t>
    </rPh>
    <rPh sb="115" eb="117">
      <t>セツメイ</t>
    </rPh>
    <rPh sb="120" eb="122">
      <t>イカ</t>
    </rPh>
    <rPh sb="123" eb="125">
      <t>キサイ</t>
    </rPh>
    <rPh sb="132" eb="134">
      <t>コウスウ</t>
    </rPh>
    <rPh sb="136" eb="138">
      <t>エイキョウ</t>
    </rPh>
    <phoneticPr fontId="4"/>
  </si>
  <si>
    <t>データ移行について</t>
    <phoneticPr fontId="4"/>
  </si>
  <si>
    <t>製品概要確認のため、製品サイトを確認しましたがリンクが切れており確認することができませんでした。
仕様確認のためにも製品マニュアル等、共有していただくこと可能でしょうか。</t>
    <rPh sb="0" eb="2">
      <t>セイヒン</t>
    </rPh>
    <rPh sb="2" eb="4">
      <t>ガイヨウ</t>
    </rPh>
    <rPh sb="4" eb="6">
      <t>カクニン</t>
    </rPh>
    <rPh sb="10" eb="12">
      <t>セイヒン</t>
    </rPh>
    <rPh sb="16" eb="18">
      <t>カクニン</t>
    </rPh>
    <rPh sb="27" eb="28">
      <t>キ</t>
    </rPh>
    <rPh sb="32" eb="34">
      <t>カクニン</t>
    </rPh>
    <rPh sb="49" eb="53">
      <t>シヨウカクニン</t>
    </rPh>
    <rPh sb="58" eb="60">
      <t>セイヒン</t>
    </rPh>
    <rPh sb="65" eb="66">
      <t>ナド</t>
    </rPh>
    <rPh sb="67" eb="69">
      <t>キョウユウ</t>
    </rPh>
    <rPh sb="77" eb="79">
      <t>カノウ</t>
    </rPh>
    <phoneticPr fontId="4"/>
  </si>
  <si>
    <t>1.接続情報の変更や、OS（Unix/Linux）によるコンソール文言の細かな違い、DBのバージョンアップに伴う出力メッセージの差異を反映するため、「データ移行ツール手順書.xlsx」の修正工数を見積もりました。
2.「全体スケジュール（案）_20260225.xls」内の「2.現地作業スケジュール」における「１．弊社現地テスト」のみを対象とした工数です。</t>
    <phoneticPr fontId="4"/>
  </si>
  <si>
    <r>
      <t>実施項目を精査したところ、合計123件が確認できました。
設定変更の実施に加え、詳細なエビデンス採取の工程も発生するため、</t>
    </r>
    <r>
      <rPr>
        <b/>
        <u/>
        <sz val="12"/>
        <rFont val="ＭＳ ゴシック"/>
        <family val="3"/>
        <charset val="128"/>
      </rPr>
      <t>追加で 1.0人月</t>
    </r>
    <r>
      <rPr>
        <sz val="12"/>
        <rFont val="ＭＳ ゴシック"/>
        <family val="3"/>
        <charset val="128"/>
      </rPr>
      <t xml:space="preserve"> を想定しております。
2026/4/17 五藤
セキュリティ関連のエビデンス採取は、以下の現地試験項目に対応します。
OP-0700.セキュリティ（設定確認）</t>
    </r>
    <rPh sb="0" eb="2">
      <t>ジッシ</t>
    </rPh>
    <rPh sb="2" eb="4">
      <t>コウモク</t>
    </rPh>
    <rPh sb="5" eb="7">
      <t>セイサ</t>
    </rPh>
    <rPh sb="13" eb="15">
      <t>ゴウケイ</t>
    </rPh>
    <rPh sb="18" eb="19">
      <t>ケン</t>
    </rPh>
    <rPh sb="20" eb="22">
      <t>カクニン</t>
    </rPh>
    <rPh sb="29" eb="31">
      <t>セッテイ</t>
    </rPh>
    <rPh sb="31" eb="33">
      <t>ヘンコウ</t>
    </rPh>
    <rPh sb="34" eb="36">
      <t>ジッシ</t>
    </rPh>
    <rPh sb="37" eb="38">
      <t>クワ</t>
    </rPh>
    <rPh sb="40" eb="42">
      <t>ショウサイ</t>
    </rPh>
    <rPh sb="48" eb="50">
      <t>サイシュ</t>
    </rPh>
    <rPh sb="51" eb="53">
      <t>コウテイ</t>
    </rPh>
    <rPh sb="54" eb="56">
      <t>ハッセイ</t>
    </rPh>
    <rPh sb="61" eb="63">
      <t>ツイカ</t>
    </rPh>
    <rPh sb="68" eb="69">
      <t>ニン</t>
    </rPh>
    <rPh sb="69" eb="70">
      <t>ゲツ</t>
    </rPh>
    <rPh sb="72" eb="74">
      <t>ソウテイ</t>
    </rPh>
    <rPh sb="102" eb="104">
      <t>カンレン</t>
    </rPh>
    <rPh sb="114" eb="116">
      <t>イカ</t>
    </rPh>
    <rPh sb="117" eb="119">
      <t>ゲンチ</t>
    </rPh>
    <rPh sb="119" eb="121">
      <t>シケン</t>
    </rPh>
    <rPh sb="121" eb="123">
      <t>コウモク</t>
    </rPh>
    <rPh sb="124" eb="126">
      <t>タイオウ</t>
    </rPh>
    <phoneticPr fontId="4"/>
  </si>
  <si>
    <r>
      <t>ご提示いただく設計に基づき、設定作業を実施いたします。
追加工数は</t>
    </r>
    <r>
      <rPr>
        <b/>
        <u/>
        <sz val="12"/>
        <rFont val="ＭＳ ゴシック"/>
        <family val="3"/>
        <charset val="128"/>
      </rPr>
      <t>＋1.0人日</t>
    </r>
    <r>
      <rPr>
        <sz val="12"/>
        <rFont val="ＭＳ ゴシック"/>
        <family val="3"/>
        <charset val="128"/>
      </rPr>
      <t>を想定します。
なお、作業範囲は設定値の反映までとし、リストア（復旧）テストは含みません。
2026/4/17 五藤　［回答期限：2026/4/20］
現地試験では、「OP-0200.基盤関連試験」内にリストア（復旧）テストを含む以下の試験項目を想定します。
（ただし、新システムは AWS 環境のため、電源ユニット障害など物理障害の項目は対象外とします。）
現在の見積工数では不足する場合、追加をお願いします。
■現地試験項目
OP-0100.登録リハーサル
OP-0200.基盤関連試験
OP-0300.基本動作確認
OP-0400.ACCESS接続確認
OP-0500.ホスト連携確認
OP-0600.日次運用
OP-0700.セキュリティ（設定確認）
OP-0800.移行ツール
2026/4/20 アドマックス長岡
前回更改時の試験実施履歴を参考に今回の見積を作成しておりますので、別途追加工数は発生いたしません。</t>
    </r>
    <rPh sb="19" eb="21">
      <t>ジッシ</t>
    </rPh>
    <rPh sb="28" eb="30">
      <t>ツイカ</t>
    </rPh>
    <rPh sb="30" eb="32">
      <t>コウスウ</t>
    </rPh>
    <rPh sb="96" eb="98">
      <t>ゴトウ</t>
    </rPh>
    <rPh sb="100" eb="102">
      <t>カイトウ</t>
    </rPh>
    <rPh sb="102" eb="104">
      <t>キゲン</t>
    </rPh>
    <rPh sb="116" eb="120">
      <t>ゲンチシケン</t>
    </rPh>
    <rPh sb="139" eb="140">
      <t>ナイ</t>
    </rPh>
    <rPh sb="153" eb="154">
      <t>フク</t>
    </rPh>
    <rPh sb="155" eb="157">
      <t>イカ</t>
    </rPh>
    <rPh sb="158" eb="160">
      <t>シケン</t>
    </rPh>
    <rPh sb="160" eb="162">
      <t>コウモク</t>
    </rPh>
    <rPh sb="163" eb="165">
      <t>ソウテイ</t>
    </rPh>
    <rPh sb="175" eb="176">
      <t>シン</t>
    </rPh>
    <rPh sb="186" eb="188">
      <t>カンキョウ</t>
    </rPh>
    <rPh sb="202" eb="204">
      <t>ブツリ</t>
    </rPh>
    <rPh sb="204" eb="206">
      <t>ショウガイ</t>
    </rPh>
    <rPh sb="207" eb="209">
      <t>コウモク</t>
    </rPh>
    <rPh sb="210" eb="213">
      <t>タイショウガイ</t>
    </rPh>
    <rPh sb="402" eb="404">
      <t>ナガオカ</t>
    </rPh>
    <phoneticPr fontId="4"/>
  </si>
  <si>
    <t>Windows Server 2022は SVF V9.2（およびJDK、WebCube）が非対応のため、最新の V10.x への刷新とそれに伴う互換性検証が不可欠です。
これにより構成や作業工数が大幅に変動し、当初の見積から増額となる可能性が高いです。
詳細なバージョン要件をいただいた上で再見積とさせてください。
2026/4/20 五藤　［回答期限：2026/4/22］
SVF の動作環境をシート「SVF動作環境」に整理しました。
条件付きですが、V9.2 の各製品は「Windows Server 2022」の環境においても動作するように見えますが、いかがでしょうか。
なお、「Windows Server 2019」での動作条件に以下の記載（※77）があります。「Windows Server 2019」を使用する山口ＦＧでは、「Java11」を使用しているでしょうか。
※77. Amazon Corretto 8、または、Java11.0.4以降を利用している必要があります。
JDK 8 は、以下ページの通り、「Windows Server 2022」においても動作するように見えます。
■Oracle JDK 8 and JRE 8 Certified System Configurations
https://www.oracle.com/java/technologies/javase/products-doc-jdk8-jre8-certconfig.html
2026/4/22 アドマックス長岡
社内の環境構築実績を確認しましたが、山口ＦＧではJDK8（java1.8）しかインストールされている記録がありませんでした。
本番環境のインストール情報を確認していただくことは可能でしょうか。</t>
    <rPh sb="195" eb="199">
      <t>ドウサカンキョウ</t>
    </rPh>
    <rPh sb="213" eb="215">
      <t>セイリ</t>
    </rPh>
    <rPh sb="221" eb="224">
      <t>ジョウケンツ</t>
    </rPh>
    <rPh sb="235" eb="236">
      <t>カク</t>
    </rPh>
    <rPh sb="236" eb="238">
      <t>セイヒン</t>
    </rPh>
    <rPh sb="261" eb="263">
      <t>カンキョウ</t>
    </rPh>
    <rPh sb="268" eb="270">
      <t>ドウサ</t>
    </rPh>
    <rPh sb="275" eb="276">
      <t>ミ</t>
    </rPh>
    <rPh sb="317" eb="319">
      <t>ドウサ</t>
    </rPh>
    <rPh sb="319" eb="321">
      <t>ジョウケン</t>
    </rPh>
    <rPh sb="322" eb="324">
      <t>イカ</t>
    </rPh>
    <rPh sb="325" eb="327">
      <t>キサイ</t>
    </rPh>
    <rPh sb="360" eb="362">
      <t>シヨウ</t>
    </rPh>
    <rPh sb="364" eb="368">
      <t>ヤマフ</t>
    </rPh>
    <rPh sb="380" eb="382">
      <t>シヨウ</t>
    </rPh>
    <rPh sb="458" eb="460">
      <t>イカ</t>
    </rPh>
    <rPh sb="464" eb="465">
      <t>トオ</t>
    </rPh>
    <rPh sb="493" eb="495">
      <t>ドウサ</t>
    </rPh>
    <rPh sb="500" eb="501">
      <t>ミ</t>
    </rPh>
    <rPh sb="669" eb="671">
      <t>シャナイ</t>
    </rPh>
    <rPh sb="672" eb="676">
      <t>カンキョウコウチク</t>
    </rPh>
    <rPh sb="676" eb="678">
      <t>ジッセキ</t>
    </rPh>
    <rPh sb="679" eb="681">
      <t>カクニン</t>
    </rPh>
    <rPh sb="719" eb="721">
      <t>キロク</t>
    </rPh>
    <rPh sb="732" eb="734">
      <t>ホンバン</t>
    </rPh>
    <rPh sb="734" eb="736">
      <t>カンキョウ</t>
    </rPh>
    <rPh sb="743" eb="745">
      <t>ジョウホウ</t>
    </rPh>
    <rPh sb="746" eb="748">
      <t>カクニン</t>
    </rPh>
    <rPh sb="757" eb="759">
      <t>カノウ</t>
    </rPh>
    <phoneticPr fontId="4"/>
  </si>
  <si>
    <r>
      <t>2026/4/20 アドマックス長岡
更新対象のマニュアルは
・操作マニュアル（更改システム）.xls
・運用手順説明書（群馬銀行）.xls
を想定しております。
障害復旧手順書は含まれていなかったため、追加で0.75人月でお願いいたします。
2026/4/20 五藤　［回答期限：2026/4/22］
障害復旧手順書を基にした確認を、総合テスト内で実施予定です。
確認の工数は、結合・総合試験：4人月または、追加する0.75人月に含まれるでしょうか。
2026/4/22 アドマックス長岡
追加の0.75人月は手順書の更新と作成時の動作確認のみを想定しているため、総合試験内での実施工数として</t>
    </r>
    <r>
      <rPr>
        <strike/>
        <sz val="12"/>
        <rFont val="ＭＳ ゴシック"/>
        <family val="3"/>
        <charset val="128"/>
      </rPr>
      <t>0.5人月</t>
    </r>
    <r>
      <rPr>
        <sz val="12"/>
        <rFont val="ＭＳ ゴシック"/>
        <family val="3"/>
        <charset val="128"/>
      </rPr>
      <t>の追加をお願いいたします。
なお、試験結果により手順の再検討が必要となった場合は、別途お見積りとさせていただきます。</t>
    </r>
    <rPh sb="16" eb="18">
      <t>ナガオカ</t>
    </rPh>
    <rPh sb="19" eb="21">
      <t>コウシン</t>
    </rPh>
    <rPh sb="21" eb="23">
      <t>タイショウ</t>
    </rPh>
    <rPh sb="72" eb="74">
      <t>ソウテイ</t>
    </rPh>
    <rPh sb="90" eb="91">
      <t>フク</t>
    </rPh>
    <rPh sb="102" eb="104">
      <t>ツイカ</t>
    </rPh>
    <rPh sb="109" eb="111">
      <t>ニンゲツ</t>
    </rPh>
    <rPh sb="113" eb="114">
      <t>ネガ</t>
    </rPh>
    <rPh sb="161" eb="162">
      <t>モト</t>
    </rPh>
    <rPh sb="165" eb="167">
      <t>カクニン</t>
    </rPh>
    <rPh sb="174" eb="175">
      <t>ナイ</t>
    </rPh>
    <rPh sb="176" eb="178">
      <t>ジツシ</t>
    </rPh>
    <rPh sb="178" eb="180">
      <t>ヨテイ</t>
    </rPh>
    <rPh sb="184" eb="186">
      <t>カクニン</t>
    </rPh>
    <rPh sb="187" eb="189">
      <t>コウスウ</t>
    </rPh>
    <rPh sb="200" eb="202">
      <t>ニンゲツ</t>
    </rPh>
    <rPh sb="206" eb="208">
      <t>ツイカ</t>
    </rPh>
    <rPh sb="217" eb="218">
      <t>フク</t>
    </rPh>
    <rPh sb="245" eb="247">
      <t>ナガオカ</t>
    </rPh>
    <phoneticPr fontId="4"/>
  </si>
  <si>
    <r>
      <t>1. データ移行ツール関連で以下の工数があります。
データ移行ツールは仕様が変わらず、マニュアルの更新は不要と思いますが、いかがでしょうか。
また、現行システムのデータ移行ツールマニュアルが見つからず、データ移行計画書、データ移行スケジュールのような作業関連の資料を想定しているでしょうか。
データ移行ツール
・その他（マニュアル更新、等）：</t>
    </r>
    <r>
      <rPr>
        <strike/>
        <sz val="12"/>
        <rFont val="ＭＳ ゴシック"/>
        <family val="3"/>
        <charset val="128"/>
      </rPr>
      <t>0.25人月</t>
    </r>
    <r>
      <rPr>
        <sz val="12"/>
        <rFont val="ＭＳ ゴシック"/>
        <family val="3"/>
        <charset val="128"/>
      </rPr>
      <t xml:space="preserve">
2. 見積項目「現地試験・データ移行準備」には、データ移行実施を含むでしょうか。</t>
    </r>
    <rPh sb="11" eb="13">
      <t>カンレン</t>
    </rPh>
    <rPh sb="14" eb="16">
      <t>イカ</t>
    </rPh>
    <rPh sb="17" eb="19">
      <t>コウスウ</t>
    </rPh>
    <rPh sb="74" eb="76">
      <t>ゲンコウ</t>
    </rPh>
    <rPh sb="95" eb="96">
      <t>ミ</t>
    </rPh>
    <rPh sb="125" eb="127">
      <t>サギョウ</t>
    </rPh>
    <rPh sb="127" eb="129">
      <t>カンレン</t>
    </rPh>
    <rPh sb="130" eb="132">
      <t>シリョウ</t>
    </rPh>
    <rPh sb="133" eb="135">
      <t>ソウテイ</t>
    </rPh>
    <rPh sb="183" eb="185">
      <t>ミツモリ</t>
    </rPh>
    <rPh sb="185" eb="187">
      <t>コウモク</t>
    </rPh>
    <rPh sb="209" eb="211">
      <t>ジッシ</t>
    </rPh>
    <rPh sb="212" eb="213">
      <t>フク</t>
    </rPh>
    <phoneticPr fontId="4"/>
  </si>
  <si>
    <t>環境構築（本番環境）</t>
    <rPh sb="0" eb="1">
      <t>カンキョウ</t>
    </rPh>
    <rPh sb="1" eb="3">
      <t>コウチク</t>
    </rPh>
    <rPh sb="5" eb="9">
      <t>ホンバンカンキョウ</t>
    </rPh>
    <phoneticPr fontId="4"/>
  </si>
  <si>
    <t>本番環境の構築関連の工数は以下の通りですが、「本番機構築：1.5人月」をもう少し細分化できないでしょうか。
例．ＡＰ（ＤＢ）サーバ、Ｗｅｂサーバ、プリントサーバごとに分けるなど。
本番機構築：1.5人月（30人日）
［追加項目］
RDS の初期構築（新規作成）：3.0人日
EC2、RDS のバックアップ設定：1.0人日
----------------------------------------------------
　合　計：34人日
■参考［山口ＦＧ］
本番機構築（DB/WEBサーバ）：1.4人月
Ｗｅｂサーバ、プリントサーバを統合して、Ｗｅｂ／プリントサーバとしたため対象サーバ数は２台。</t>
    <phoneticPr fontId="4"/>
  </si>
  <si>
    <t>環境構築（開発環境）</t>
    <rPh sb="0" eb="1">
      <t>カンキョウ</t>
    </rPh>
    <rPh sb="1" eb="3">
      <t>コウチク</t>
    </rPh>
    <rPh sb="5" eb="7">
      <t>カイハツ</t>
    </rPh>
    <rPh sb="7" eb="9">
      <t>カンキョウ</t>
    </rPh>
    <phoneticPr fontId="4"/>
  </si>
  <si>
    <t>以下について回答をお願いします。
・「事前調査・開発環境構築：1.25人月」を事前調査と開発環境構築に分解した工数
・開発環境構築の前提（開発環境の内容など）</t>
    <rPh sb="0" eb="2">
      <t>イカ</t>
    </rPh>
    <rPh sb="56" eb="58">
      <t>コウスウ</t>
    </rPh>
    <rPh sb="75" eb="77">
      <t>ナイヨウ</t>
    </rPh>
    <phoneticPr fontId="4"/>
  </si>
  <si>
    <t>山口ＦＧの開発終了後、東芝社内の AWS 環境へ開発環境を構築しました。
今回の開発時も同様に開発環境を構築する工数について、回答をお願いします。［山口ＦＧの時は、0.25人月でした］</t>
    <rPh sb="0" eb="4">
      <t>ヤマグチfg</t>
    </rPh>
    <rPh sb="5" eb="7">
      <t>カイハツ</t>
    </rPh>
    <rPh sb="7" eb="10">
      <t>シュウリョウゴ</t>
    </rPh>
    <rPh sb="11" eb="13">
      <t>トウシバ</t>
    </rPh>
    <rPh sb="13" eb="15">
      <t>シャナイ</t>
    </rPh>
    <rPh sb="21" eb="23">
      <t>カンキョウ</t>
    </rPh>
    <rPh sb="24" eb="26">
      <t>カイハツ</t>
    </rPh>
    <rPh sb="26" eb="28">
      <t>カンキョウ</t>
    </rPh>
    <rPh sb="29" eb="31">
      <t>コウチク</t>
    </rPh>
    <rPh sb="37" eb="39">
      <t>コンカイ</t>
    </rPh>
    <rPh sb="40" eb="42">
      <t>カイハツ</t>
    </rPh>
    <rPh sb="42" eb="43">
      <t>ジ</t>
    </rPh>
    <rPh sb="44" eb="46">
      <t>ドウヨウ</t>
    </rPh>
    <rPh sb="47" eb="49">
      <t>カイハツ</t>
    </rPh>
    <rPh sb="49" eb="51">
      <t>カンキョウ</t>
    </rPh>
    <rPh sb="52" eb="54">
      <t>コウチク</t>
    </rPh>
    <rPh sb="56" eb="58">
      <t>コウスウ</t>
    </rPh>
    <rPh sb="63" eb="65">
      <t>カイトウ</t>
    </rPh>
    <rPh sb="67" eb="68">
      <t>ネガ</t>
    </rPh>
    <rPh sb="79" eb="80">
      <t>トキ</t>
    </rPh>
    <rPh sb="86" eb="88">
      <t>ニンゲツ</t>
    </rPh>
    <phoneticPr fontId="4"/>
  </si>
  <si>
    <t>環境構築（社内開発環境）</t>
    <rPh sb="0" eb="1">
      <t>カンキョウ</t>
    </rPh>
    <rPh sb="1" eb="3">
      <t>コウチク</t>
    </rPh>
    <rPh sb="5" eb="7">
      <t>シャナイ</t>
    </rPh>
    <rPh sb="7" eb="9">
      <t>カイハツ</t>
    </rPh>
    <rPh sb="9" eb="11">
      <t>カンキョウ</t>
    </rPh>
    <phoneticPr fontId="4"/>
  </si>
  <si>
    <t xml:space="preserve">サーバごとに分けました。確認お願いいたします。
　ＡＰ（ＤＢ）サーバ：0.6人月（12.0人日）
　Ｗｅｂサーバ　　　：0.5人月（10.0人日）
　プリントサーバ　　：0.4人月（ 8.0人日）
　［追加項目］
　RDS の初期構築（新規作成）　：3.0人日
　EC2、RDSのバックアップ設定　：1.0人日
----------------------------------------------------
　合　計　　　　　　　　　　　：24.0人日
1人月は20人日で算出しております。
</t>
    <rPh sb="6" eb="7">
      <t>ワ</t>
    </rPh>
    <rPh sb="12" eb="14">
      <t>カクニン</t>
    </rPh>
    <rPh sb="15" eb="16">
      <t>ネガ</t>
    </rPh>
    <rPh sb="38" eb="40">
      <t>ニンゲツ</t>
    </rPh>
    <rPh sb="45" eb="47">
      <t>ニンニチ</t>
    </rPh>
    <rPh sb="63" eb="65">
      <t>ニンゲツ</t>
    </rPh>
    <rPh sb="88" eb="90">
      <t>ニンゲツ</t>
    </rPh>
    <rPh sb="234" eb="236">
      <t>ニンゲツ</t>
    </rPh>
    <rPh sb="239" eb="241">
      <t>ニンニチ</t>
    </rPh>
    <rPh sb="242" eb="244">
      <t>サンシュツ</t>
    </rPh>
    <phoneticPr fontId="4"/>
  </si>
  <si>
    <t>体制</t>
    <rPh sb="0" eb="1">
      <t>タイセイ</t>
    </rPh>
    <phoneticPr fontId="4"/>
  </si>
  <si>
    <t>開発、現地作業体制について</t>
    <rPh sb="0" eb="1">
      <t>カイハツ</t>
    </rPh>
    <rPh sb="2" eb="6">
      <t>ゲンチサギョウ</t>
    </rPh>
    <rPh sb="6" eb="8">
      <t>タイセイ</t>
    </rPh>
    <phoneticPr fontId="4"/>
  </si>
  <si>
    <t>現時点で想定する、工程ごとの開発体制（人数、担当者）について回答をお願いします。</t>
    <rPh sb="0" eb="3">
      <t>ゲンジテン</t>
    </rPh>
    <rPh sb="4" eb="6">
      <t>ソウテイ</t>
    </rPh>
    <rPh sb="9" eb="11">
      <t>コウテイ</t>
    </rPh>
    <rPh sb="14" eb="16">
      <t>カイハツ</t>
    </rPh>
    <rPh sb="16" eb="18">
      <t>タイセイ</t>
    </rPh>
    <rPh sb="19" eb="21">
      <t>ニンズウ</t>
    </rPh>
    <rPh sb="22" eb="25">
      <t>タントウシャ</t>
    </rPh>
    <rPh sb="30" eb="32">
      <t>カイトウ</t>
    </rPh>
    <rPh sb="34" eb="35">
      <t>ネガ</t>
    </rPh>
    <phoneticPr fontId="4"/>
  </si>
  <si>
    <t>現時点では以下を想定しております。
基本設計：3名（長岡、2名（未定））
詳細設計：3名（長岡、2名（未定））
製造・単体試験：4名（長岡、3名（未定））
本番機構築：2名（長岡、橋本）
結合・総合試験：5名（長岡、4名（未定））
現地試験～運用立会い：2名（長岡、橋本）</t>
    <rPh sb="0" eb="3">
      <t>ゲンジテン</t>
    </rPh>
    <rPh sb="5" eb="7">
      <t>イカ</t>
    </rPh>
    <rPh sb="8" eb="10">
      <t>ソウテイ</t>
    </rPh>
    <rPh sb="19" eb="23">
      <t>キホンセッケイ</t>
    </rPh>
    <rPh sb="25" eb="26">
      <t>メイ</t>
    </rPh>
    <rPh sb="27" eb="29">
      <t>ナガオカ</t>
    </rPh>
    <rPh sb="31" eb="32">
      <t>メイ</t>
    </rPh>
    <rPh sb="33" eb="35">
      <t>ミテイ</t>
    </rPh>
    <rPh sb="38" eb="40">
      <t>ショウサイ</t>
    </rPh>
    <rPh sb="91" eb="93">
      <t>ハシモト</t>
    </rPh>
    <rPh sb="122" eb="126">
      <t>ウンヨウタチア</t>
    </rPh>
    <phoneticPr fontId="4"/>
  </si>
  <si>
    <t xml:space="preserve">山口FG時は実績のある既存手順を流用できたため、0.25人月で構築が可能でした。
今回はOS等のバージョンが未確定であり、技術検証や不確定要素への対応リスクを含めた工数見積としています。
2026/4/30 アドマックス長岡
稼働後の保守環境の構築については、山口FG対応と同等の工数で問題ないかと存じますが、実際の構築手順に基づき見積を行う必要があるため、現時点での正式な回答はいたしかねます。
</t>
    <rPh sb="84" eb="86">
      <t>ミツモリ</t>
    </rPh>
    <phoneticPr fontId="4"/>
  </si>
  <si>
    <t xml:space="preserve">＞「事前調査・開発環境構築：1.25人月」を事前調査と開発環境構築に分解した工数
　事前調査　　　：0.25人月
　開発環境構築　：1.00人月
----------------------------------------------------
　合　計　　　　：1.25人月
開発環境構築には本番環境構築の際に使用する手順の作成も含んでいます。
＞開発環境構築の前提（開発環境の内容など）
見積時点は以下を想定しておりました。
バージョンは本番想定に準拠しますが、WebCube・SVFについては本番のバージョンと異なった場合、ライセンスの提供をお願いいたします。
ＡＰ（ＤＢ）サーバ
　OS　　 ：Red Hat Enterprise Linux 8.0
　DB　　 ：Oracle 19c Database
Ｗｅｂサーバ
　OS　　 ：Windows Server 2019
　JDK　　：JDK1.8（java8）
　WebCube：V9
　SVF　　：V9.2
社内開発環境ではプリンタサーバの構築は想定しておりません。
2026/4/30 アドマックス長岡
製造・単体テスト工程で使用予定の開発環境（アドマックス社内に構築でしょうか）の想定です。
社内環境に構築のため、AWSは使用しない想定です。
</t>
    <rPh sb="42" eb="46">
      <t>ジゼンチョウサ</t>
    </rPh>
    <rPh sb="58" eb="60">
      <t>カイハツ</t>
    </rPh>
    <rPh sb="60" eb="62">
      <t>カンキョウ</t>
    </rPh>
    <rPh sb="62" eb="64">
      <t>コウチク</t>
    </rPh>
    <rPh sb="151" eb="153">
      <t>ホンバン</t>
    </rPh>
    <rPh sb="153" eb="157">
      <t>カンキョウコウチク</t>
    </rPh>
    <rPh sb="158" eb="159">
      <t>サイ</t>
    </rPh>
    <rPh sb="160" eb="162">
      <t>シヨウ</t>
    </rPh>
    <rPh sb="167" eb="169">
      <t>サクセイ</t>
    </rPh>
    <rPh sb="170" eb="171">
      <t>フク</t>
    </rPh>
    <rPh sb="201" eb="205">
      <t>ミツモリジテン</t>
    </rPh>
    <rPh sb="206" eb="208">
      <t>イカ</t>
    </rPh>
    <rPh sb="209" eb="211">
      <t>ソウテイ</t>
    </rPh>
    <rPh sb="226" eb="228">
      <t>ホンバン</t>
    </rPh>
    <rPh sb="228" eb="230">
      <t>ソウテイ</t>
    </rPh>
    <rPh sb="231" eb="233">
      <t>ジュンキョ</t>
    </rPh>
    <rPh sb="254" eb="256">
      <t>ホンバン</t>
    </rPh>
    <rPh sb="263" eb="264">
      <t>コト</t>
    </rPh>
    <rPh sb="267" eb="269">
      <t>バアイ</t>
    </rPh>
    <rPh sb="276" eb="278">
      <t>テイキョウ</t>
    </rPh>
    <rPh sb="280" eb="281">
      <t>ネガ</t>
    </rPh>
    <rPh sb="442" eb="444">
      <t>シャナイ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</si>
</sst>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m/d"/>
  </numFmts>
  <fonts count="21" x14ac:knownFonts="1">
    <font>
      <sz val="10"/>
      <name val="ＭＳ ゴシック"/>
      <family val="3"/>
      <charset val="128"/>
    </font>
    <font>
      <sz val="10"/>
      <color theme="1"/>
      <name val="ＭＳ Ｐゴシック"/>
      <family val="2"/>
      <charset val="128"/>
      <scheme val="minor"/>
    </font>
    <font>
      <sz val="10"/>
      <name val="ＭＳ ゴシック"/>
      <family val="3"/>
      <charset val="128"/>
    </font>
    <font>
      <sz val="18"/>
      <name val="ＭＳ ゴシック"/>
      <family val="3"/>
      <charset val="128"/>
    </font>
    <font>
      <sz val="6"/>
      <name val="ＭＳ ゴシック"/>
      <family val="3"/>
      <charset val="128"/>
    </font>
    <font>
      <b/>
      <sz val="10"/>
      <name val="ＭＳ ゴシック"/>
      <family val="3"/>
      <charset val="128"/>
    </font>
    <font>
      <sz val="14"/>
      <name val="ＭＳ ゴシック"/>
      <family val="3"/>
      <charset val="128"/>
    </font>
    <font>
      <sz val="12"/>
      <name val="ＭＳ ゴシック"/>
      <family val="3"/>
      <charset val="128"/>
    </font>
    <font>
      <sz val="11"/>
      <name val="ＭＳ ゴシック"/>
      <family val="3"/>
      <charset val="128"/>
    </font>
    <font>
      <b/>
      <sz val="22"/>
      <name val="ＭＳ ゴシック"/>
      <family val="3"/>
      <charset val="128"/>
    </font>
    <font>
      <sz val="12"/>
      <color indexed="10"/>
      <name val="ＭＳ ゴシック"/>
      <family val="3"/>
      <charset val="128"/>
    </font>
    <font>
      <sz val="12"/>
      <color rgb="FF0000FF"/>
      <name val="ＭＳ ゴシック"/>
      <family val="3"/>
      <charset val="128"/>
    </font>
    <font>
      <sz val="12"/>
      <color rgb="FFFF0000"/>
      <name val="ＭＳ ゴシック"/>
      <family val="3"/>
      <charset val="128"/>
    </font>
    <font>
      <sz val="10"/>
      <color rgb="FF0000FF"/>
      <name val="ＭＳ Ｐゴシック"/>
      <family val="3"/>
      <charset val="128"/>
      <scheme val="minor"/>
    </font>
    <font>
      <sz val="12"/>
      <color theme="1"/>
      <name val="ＭＳ Ｐゴシック"/>
      <family val="3"/>
      <charset val="128"/>
      <scheme val="minor"/>
    </font>
    <font>
      <sz val="12"/>
      <color theme="1"/>
      <name val="游ゴシック"/>
      <family val="3"/>
      <charset val="128"/>
    </font>
    <font>
      <sz val="12"/>
      <color rgb="FF0000FF"/>
      <name val="游ゴシック"/>
      <family val="3"/>
      <charset val="128"/>
    </font>
    <font>
      <sz val="14"/>
      <color rgb="FF0000FF"/>
      <name val="游ゴシック"/>
      <family val="3"/>
      <charset val="128"/>
    </font>
    <font>
      <sz val="10"/>
      <color rgb="FF0000FF"/>
      <name val="游ゴシック"/>
      <family val="3"/>
      <charset val="128"/>
    </font>
    <font>
      <b/>
      <u/>
      <sz val="12"/>
      <name val="ＭＳ ゴシック"/>
      <family val="3"/>
      <charset val="128"/>
    </font>
    <font>
      <strike/>
      <sz val="12"/>
      <name val="ＭＳ ゴシック"/>
      <family val="3"/>
      <charset val="128"/>
    </font>
  </fonts>
  <fills count="6">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rgb="FFFFFF99"/>
        <bgColor indexed="64"/>
      </patternFill>
    </fill>
    <fill>
      <patternFill patternType="solid">
        <fgColor rgb="FF99FF99"/>
        <bgColor indexed="64"/>
      </patternFill>
    </fill>
  </fills>
  <borders count="25">
    <border>
      <left/>
      <right/>
      <top/>
      <bottom/>
      <diagonal/>
    </border>
    <border>
      <left/>
      <right/>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1" fillId="0" borderId="0">
      <alignment vertical="center"/>
    </xf>
  </cellStyleXfs>
  <cellXfs count="84">
    <xf numFmtId="0" fontId="0" fillId="0" borderId="0" xfId="0"/>
    <xf numFmtId="0" fontId="3" fillId="0" borderId="1" xfId="0" applyFont="1" applyBorder="1"/>
    <xf numFmtId="14" fontId="6" fillId="0" borderId="1" xfId="0" applyNumberFormat="1" applyFont="1" applyBorder="1"/>
    <xf numFmtId="0" fontId="7" fillId="0" borderId="1" xfId="0" applyFont="1" applyBorder="1" applyAlignment="1">
      <alignment horizontal="right"/>
    </xf>
    <xf numFmtId="176" fontId="7" fillId="0" borderId="1" xfId="0" applyNumberFormat="1" applyFont="1" applyBorder="1"/>
    <xf numFmtId="0" fontId="7" fillId="2" borderId="1" xfId="0" applyFont="1" applyFill="1" applyBorder="1" applyAlignment="1">
      <alignment wrapText="1"/>
    </xf>
    <xf numFmtId="0" fontId="7" fillId="0" borderId="1" xfId="0" applyFont="1" applyBorder="1"/>
    <xf numFmtId="0" fontId="2" fillId="0" borderId="0" xfId="0" applyFont="1"/>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14" fontId="7" fillId="0" borderId="11" xfId="0" quotePrefix="1" applyNumberFormat="1" applyFont="1" applyBorder="1" applyAlignment="1">
      <alignment horizontal="center" vertical="center" wrapText="1"/>
    </xf>
    <xf numFmtId="0" fontId="7" fillId="0" borderId="11" xfId="0" applyFont="1" applyBorder="1" applyAlignment="1">
      <alignment vertical="top" wrapText="1"/>
    </xf>
    <xf numFmtId="14" fontId="7" fillId="0" borderId="11" xfId="0" applyNumberFormat="1" applyFont="1" applyBorder="1" applyAlignment="1">
      <alignment horizontal="center" vertical="center" wrapText="1"/>
    </xf>
    <xf numFmtId="0" fontId="7" fillId="0" borderId="12" xfId="0" applyFont="1" applyBorder="1" applyAlignment="1">
      <alignment horizontal="left" vertical="top"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14" fontId="7" fillId="0" borderId="14" xfId="0" quotePrefix="1" applyNumberFormat="1" applyFont="1" applyBorder="1" applyAlignment="1">
      <alignment horizontal="center" vertical="center" wrapText="1"/>
    </xf>
    <xf numFmtId="0" fontId="7" fillId="0" borderId="14" xfId="0" applyFont="1" applyBorder="1" applyAlignment="1">
      <alignment vertical="top" wrapText="1"/>
    </xf>
    <xf numFmtId="14" fontId="7" fillId="0" borderId="14" xfId="0" applyNumberFormat="1" applyFont="1" applyBorder="1" applyAlignment="1">
      <alignment horizontal="center" vertical="center" wrapText="1"/>
    </xf>
    <xf numFmtId="0" fontId="7" fillId="0" borderId="15" xfId="0" applyFont="1" applyBorder="1" applyAlignment="1">
      <alignment horizontal="left" vertical="top" wrapText="1"/>
    </xf>
    <xf numFmtId="0" fontId="7" fillId="0" borderId="16" xfId="0" applyFont="1" applyBorder="1" applyAlignment="1">
      <alignment horizontal="left" vertical="center"/>
    </xf>
    <xf numFmtId="0" fontId="2" fillId="0" borderId="14" xfId="0" applyFont="1" applyBorder="1" applyAlignment="1">
      <alignment horizontal="center" vertical="center"/>
    </xf>
    <xf numFmtId="14" fontId="2" fillId="0" borderId="14" xfId="0" applyNumberFormat="1" applyFont="1" applyBorder="1" applyAlignment="1">
      <alignment horizontal="center" vertical="center"/>
    </xf>
    <xf numFmtId="0" fontId="8" fillId="0" borderId="14" xfId="0" applyFont="1" applyBorder="1" applyAlignment="1">
      <alignment vertical="top" wrapText="1" shrinkToFit="1"/>
    </xf>
    <xf numFmtId="14" fontId="7" fillId="0" borderId="14" xfId="0" applyNumberFormat="1" applyFont="1" applyBorder="1" applyAlignment="1">
      <alignment horizontal="center" vertical="center"/>
    </xf>
    <xf numFmtId="0" fontId="7" fillId="0" borderId="14" xfId="0" applyFont="1" applyBorder="1" applyAlignment="1">
      <alignment horizontal="left" vertical="center"/>
    </xf>
    <xf numFmtId="0" fontId="8" fillId="0" borderId="14" xfId="0" applyFont="1" applyBorder="1" applyAlignment="1">
      <alignment vertical="top"/>
    </xf>
    <xf numFmtId="0" fontId="8" fillId="0" borderId="14" xfId="0" applyFont="1" applyBorder="1" applyAlignment="1">
      <alignment vertical="top" wrapText="1"/>
    </xf>
    <xf numFmtId="0" fontId="7" fillId="0" borderId="14" xfId="0" applyFont="1" applyBorder="1" applyAlignment="1">
      <alignment horizontal="left" vertical="center" wrapText="1"/>
    </xf>
    <xf numFmtId="0" fontId="0" fillId="0" borderId="14" xfId="0" applyBorder="1" applyAlignment="1">
      <alignment horizontal="center" vertical="center"/>
    </xf>
    <xf numFmtId="14" fontId="2" fillId="0" borderId="0" xfId="0" applyNumberFormat="1" applyFont="1" applyAlignment="1">
      <alignment horizontal="center"/>
    </xf>
    <xf numFmtId="0" fontId="8" fillId="0" borderId="0" xfId="0" applyFont="1"/>
    <xf numFmtId="14" fontId="7" fillId="0" borderId="0" xfId="0" applyNumberFormat="1" applyFont="1" applyAlignment="1">
      <alignment horizontal="center" vertical="center"/>
    </xf>
    <xf numFmtId="0" fontId="7" fillId="0" borderId="0" xfId="0" applyFont="1" applyAlignment="1">
      <alignment vertical="top"/>
    </xf>
    <xf numFmtId="177" fontId="7" fillId="0" borderId="0" xfId="0" applyNumberFormat="1" applyFont="1" applyAlignment="1">
      <alignment horizontal="center" vertical="center"/>
    </xf>
    <xf numFmtId="0" fontId="7" fillId="0" borderId="0" xfId="0" applyFont="1" applyAlignment="1">
      <alignment horizontal="left" vertical="center"/>
    </xf>
    <xf numFmtId="0" fontId="9" fillId="0" borderId="1" xfId="0" applyFont="1" applyBorder="1"/>
    <xf numFmtId="14" fontId="7" fillId="0" borderId="11" xfId="0" applyNumberFormat="1" applyFont="1" applyBorder="1" applyAlignment="1">
      <alignment horizontal="center" vertical="center"/>
    </xf>
    <xf numFmtId="0" fontId="7" fillId="0" borderId="17" xfId="0" applyFont="1" applyBorder="1" applyAlignment="1">
      <alignment horizontal="center" vertical="center" wrapText="1"/>
    </xf>
    <xf numFmtId="0" fontId="7" fillId="0" borderId="3" xfId="0" applyFont="1" applyBorder="1" applyAlignment="1">
      <alignment horizontal="center" vertical="center" wrapText="1"/>
    </xf>
    <xf numFmtId="14" fontId="7" fillId="0" borderId="3" xfId="0" quotePrefix="1" applyNumberFormat="1" applyFont="1" applyBorder="1" applyAlignment="1">
      <alignment horizontal="center" vertical="center" wrapText="1"/>
    </xf>
    <xf numFmtId="0" fontId="7" fillId="0" borderId="3" xfId="0" applyFont="1" applyBorder="1" applyAlignment="1">
      <alignment vertical="top" wrapText="1"/>
    </xf>
    <xf numFmtId="14" fontId="7" fillId="0" borderId="3" xfId="0" applyNumberFormat="1" applyFont="1" applyBorder="1" applyAlignment="1">
      <alignment horizontal="center" vertical="center" wrapText="1"/>
    </xf>
    <xf numFmtId="0" fontId="7" fillId="0" borderId="18" xfId="0" applyFont="1" applyBorder="1" applyAlignment="1">
      <alignment horizontal="left" vertical="center"/>
    </xf>
    <xf numFmtId="0" fontId="7" fillId="0" borderId="19" xfId="0" applyFont="1" applyBorder="1" applyAlignment="1">
      <alignment horizontal="left" vertical="center"/>
    </xf>
    <xf numFmtId="0" fontId="7" fillId="0" borderId="20" xfId="0" applyFont="1" applyBorder="1" applyAlignment="1">
      <alignment horizontal="left"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0" fillId="0" borderId="23" xfId="0" applyBorder="1"/>
    <xf numFmtId="0" fontId="0" fillId="0" borderId="24" xfId="0" applyBorder="1"/>
    <xf numFmtId="0" fontId="2" fillId="0" borderId="24" xfId="0" applyFont="1" applyBorder="1"/>
    <xf numFmtId="0" fontId="10" fillId="0" borderId="4" xfId="0" applyFont="1" applyBorder="1" applyAlignment="1">
      <alignment horizontal="left" vertical="top" wrapText="1"/>
    </xf>
    <xf numFmtId="14" fontId="11" fillId="0" borderId="11" xfId="0" applyNumberFormat="1" applyFont="1" applyBorder="1" applyAlignment="1">
      <alignment horizontal="center" vertical="center"/>
    </xf>
    <xf numFmtId="0" fontId="11" fillId="0" borderId="12" xfId="0" applyFont="1" applyBorder="1" applyAlignment="1">
      <alignment horizontal="left" vertical="top" wrapText="1"/>
    </xf>
    <xf numFmtId="0" fontId="12" fillId="0" borderId="12" xfId="0" applyFont="1" applyBorder="1" applyAlignment="1">
      <alignment horizontal="left" vertical="top" wrapText="1"/>
    </xf>
    <xf numFmtId="0" fontId="6" fillId="3" borderId="2" xfId="0" applyFont="1" applyFill="1" applyBorder="1"/>
    <xf numFmtId="0" fontId="6" fillId="3" borderId="3" xfId="0" applyFont="1" applyFill="1" applyBorder="1"/>
    <xf numFmtId="14" fontId="6" fillId="3" borderId="3" xfId="0" applyNumberFormat="1" applyFont="1" applyFill="1" applyBorder="1" applyAlignment="1">
      <alignment horizontal="center"/>
    </xf>
    <xf numFmtId="0" fontId="6" fillId="3" borderId="3" xfId="0" applyFont="1" applyFill="1" applyBorder="1" applyAlignment="1">
      <alignment horizontal="center"/>
    </xf>
    <xf numFmtId="14" fontId="7" fillId="3" borderId="3" xfId="0" applyNumberFormat="1" applyFont="1" applyFill="1" applyBorder="1" applyAlignment="1">
      <alignment horizontal="center" vertical="center"/>
    </xf>
    <xf numFmtId="0" fontId="7" fillId="3" borderId="3" xfId="0" applyFont="1" applyFill="1" applyBorder="1" applyAlignment="1">
      <alignment vertical="top"/>
    </xf>
    <xf numFmtId="177" fontId="7" fillId="3" borderId="3" xfId="0" applyNumberFormat="1" applyFont="1" applyFill="1" applyBorder="1" applyAlignment="1">
      <alignment horizontal="center" vertical="center"/>
    </xf>
    <xf numFmtId="14" fontId="7" fillId="3" borderId="4" xfId="0" applyNumberFormat="1" applyFont="1" applyFill="1" applyBorder="1" applyAlignment="1">
      <alignment horizontal="left" vertical="center"/>
    </xf>
    <xf numFmtId="14" fontId="7" fillId="3" borderId="5" xfId="0" applyNumberFormat="1" applyFont="1" applyFill="1" applyBorder="1" applyAlignment="1">
      <alignment horizontal="left" vertic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7" xfId="0" applyFont="1" applyFill="1" applyBorder="1" applyAlignment="1">
      <alignment horizontal="center" vertical="center"/>
    </xf>
    <xf numFmtId="14" fontId="6" fillId="3" borderId="7" xfId="0" applyNumberFormat="1" applyFont="1" applyFill="1" applyBorder="1" applyAlignment="1">
      <alignment horizontal="center" vertical="center"/>
    </xf>
    <xf numFmtId="177" fontId="6" fillId="3" borderId="7" xfId="0" applyNumberFormat="1" applyFont="1" applyFill="1" applyBorder="1" applyAlignment="1">
      <alignment horizontal="center" vertical="center"/>
    </xf>
    <xf numFmtId="0" fontId="6" fillId="3" borderId="8" xfId="0" applyFont="1" applyFill="1" applyBorder="1" applyAlignment="1">
      <alignment horizontal="center" vertical="center" wrapText="1"/>
    </xf>
    <xf numFmtId="0" fontId="8" fillId="3" borderId="9" xfId="0" applyFont="1" applyFill="1" applyBorder="1" applyAlignment="1">
      <alignment vertical="center" wrapText="1"/>
    </xf>
    <xf numFmtId="0" fontId="8" fillId="3" borderId="9" xfId="0" applyFont="1" applyFill="1" applyBorder="1" applyAlignment="1">
      <alignment horizontal="center" vertical="center" wrapText="1"/>
    </xf>
    <xf numFmtId="14" fontId="7" fillId="0" borderId="14" xfId="0" quotePrefix="1" applyNumberFormat="1" applyFont="1" applyBorder="1" applyAlignment="1">
      <alignment vertical="center" wrapText="1"/>
    </xf>
    <xf numFmtId="0" fontId="13" fillId="0" borderId="0" xfId="1" applyFont="1">
      <alignment vertical="center"/>
    </xf>
    <xf numFmtId="0" fontId="1" fillId="0" borderId="0" xfId="1">
      <alignment vertical="center"/>
    </xf>
    <xf numFmtId="0" fontId="1" fillId="4" borderId="0" xfId="1" applyFill="1">
      <alignment vertical="center"/>
    </xf>
    <xf numFmtId="0" fontId="14" fillId="0" borderId="0" xfId="1" applyFont="1">
      <alignment vertical="center"/>
    </xf>
    <xf numFmtId="0" fontId="15" fillId="0" borderId="0" xfId="1" applyFont="1">
      <alignment vertical="center"/>
    </xf>
    <xf numFmtId="0" fontId="16" fillId="0" borderId="0" xfId="1" applyFont="1">
      <alignment vertical="center"/>
    </xf>
    <xf numFmtId="0" fontId="17" fillId="0" borderId="0" xfId="1" applyFont="1">
      <alignment vertical="center"/>
    </xf>
    <xf numFmtId="0" fontId="18" fillId="0" borderId="0" xfId="1" applyFont="1">
      <alignment vertical="center"/>
    </xf>
    <xf numFmtId="0" fontId="16" fillId="4" borderId="0" xfId="1" applyFont="1" applyFill="1">
      <alignment vertical="center"/>
    </xf>
    <xf numFmtId="14" fontId="7" fillId="5" borderId="11" xfId="0" applyNumberFormat="1" applyFont="1" applyFill="1" applyBorder="1" applyAlignment="1">
      <alignment horizontal="center" vertical="center" wrapText="1"/>
    </xf>
    <xf numFmtId="0" fontId="12" fillId="0" borderId="11" xfId="0" applyFont="1" applyBorder="1" applyAlignment="1">
      <alignment vertical="top" wrapText="1"/>
    </xf>
  </cellXfs>
  <cellStyles count="2">
    <cellStyle name="標準" xfId="0" builtinId="0"/>
    <cellStyle name="標準 2" xfId="1" xr:uid="{2BC365F9-70B7-4A24-A4CC-E7F4A81D9BDA}"/>
  </cellStyles>
  <dxfs count="7">
    <dxf>
      <fill>
        <patternFill>
          <bgColor indexed="22"/>
        </patternFill>
      </fill>
    </dxf>
    <dxf>
      <fill>
        <patternFill>
          <bgColor indexed="26"/>
        </patternFill>
      </fill>
    </dxf>
    <dxf>
      <fill>
        <patternFill>
          <bgColor indexed="45"/>
        </patternFill>
      </fill>
    </dxf>
    <dxf>
      <fill>
        <patternFill>
          <bgColor indexed="22"/>
        </patternFill>
      </fill>
    </dxf>
    <dxf>
      <fill>
        <patternFill>
          <bgColor indexed="26"/>
        </patternFill>
      </fill>
    </dxf>
    <dxf>
      <fill>
        <patternFill>
          <bgColor indexed="43"/>
        </patternFill>
      </fill>
    </dxf>
    <dxf>
      <fill>
        <patternFill>
          <bgColor indexed="22"/>
        </patternFill>
      </fill>
    </dxf>
  </dxfs>
  <tableStyles count="0" defaultTableStyle="TableStyleMedium9" defaultPivotStyle="PivotStyleLight16"/>
  <colors>
    <mruColors>
      <color rgb="FF99FF99"/>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25</xdr:col>
      <xdr:colOff>7771</xdr:colOff>
      <xdr:row>21</xdr:row>
      <xdr:rowOff>85409</xdr:rowOff>
    </xdr:to>
    <xdr:pic>
      <xdr:nvPicPr>
        <xdr:cNvPr id="2" name="図 1">
          <a:extLst>
            <a:ext uri="{FF2B5EF4-FFF2-40B4-BE49-F238E27FC236}">
              <a16:creationId xmlns:a16="http://schemas.microsoft.com/office/drawing/2014/main" id="{A4BF9799-DB2C-40FE-87F5-7BE12C94661A}"/>
            </a:ext>
          </a:extLst>
        </xdr:cNvPr>
        <xdr:cNvPicPr>
          <a:picLocks noChangeAspect="1"/>
        </xdr:cNvPicPr>
      </xdr:nvPicPr>
      <xdr:blipFill>
        <a:blip xmlns:r="http://schemas.openxmlformats.org/officeDocument/2006/relationships" r:embed="rId1"/>
        <a:stretch>
          <a:fillRect/>
        </a:stretch>
      </xdr:blipFill>
      <xdr:spPr>
        <a:xfrm>
          <a:off x="962025" y="1047750"/>
          <a:ext cx="14028571" cy="2523809"/>
        </a:xfrm>
        <a:prstGeom prst="rect">
          <a:avLst/>
        </a:prstGeom>
      </xdr:spPr>
    </xdr:pic>
    <xdr:clientData/>
  </xdr:twoCellAnchor>
  <xdr:twoCellAnchor editAs="oneCell">
    <xdr:from>
      <xdr:col>2</xdr:col>
      <xdr:colOff>0</xdr:colOff>
      <xdr:row>16</xdr:row>
      <xdr:rowOff>152400</xdr:rowOff>
    </xdr:from>
    <xdr:to>
      <xdr:col>25</xdr:col>
      <xdr:colOff>36343</xdr:colOff>
      <xdr:row>39</xdr:row>
      <xdr:rowOff>142438</xdr:rowOff>
    </xdr:to>
    <xdr:pic>
      <xdr:nvPicPr>
        <xdr:cNvPr id="3" name="図 2">
          <a:extLst>
            <a:ext uri="{FF2B5EF4-FFF2-40B4-BE49-F238E27FC236}">
              <a16:creationId xmlns:a16="http://schemas.microsoft.com/office/drawing/2014/main" id="{24D18CAE-3E96-4024-87BD-593F44099E8A}"/>
            </a:ext>
          </a:extLst>
        </xdr:cNvPr>
        <xdr:cNvPicPr>
          <a:picLocks noChangeAspect="1"/>
        </xdr:cNvPicPr>
      </xdr:nvPicPr>
      <xdr:blipFill>
        <a:blip xmlns:r="http://schemas.openxmlformats.org/officeDocument/2006/relationships" r:embed="rId2"/>
        <a:stretch>
          <a:fillRect/>
        </a:stretch>
      </xdr:blipFill>
      <xdr:spPr>
        <a:xfrm>
          <a:off x="962025" y="3505200"/>
          <a:ext cx="14057143" cy="3495238"/>
        </a:xfrm>
        <a:prstGeom prst="rect">
          <a:avLst/>
        </a:prstGeom>
      </xdr:spPr>
    </xdr:pic>
    <xdr:clientData/>
  </xdr:twoCellAnchor>
  <xdr:twoCellAnchor editAs="oneCell">
    <xdr:from>
      <xdr:col>2</xdr:col>
      <xdr:colOff>0</xdr:colOff>
      <xdr:row>33</xdr:row>
      <xdr:rowOff>38100</xdr:rowOff>
    </xdr:from>
    <xdr:to>
      <xdr:col>25</xdr:col>
      <xdr:colOff>17295</xdr:colOff>
      <xdr:row>52</xdr:row>
      <xdr:rowOff>66309</xdr:rowOff>
    </xdr:to>
    <xdr:pic>
      <xdr:nvPicPr>
        <xdr:cNvPr id="4" name="図 3">
          <a:extLst>
            <a:ext uri="{FF2B5EF4-FFF2-40B4-BE49-F238E27FC236}">
              <a16:creationId xmlns:a16="http://schemas.microsoft.com/office/drawing/2014/main" id="{F5A08829-C4F8-4DD9-B777-320D1C742DBA}"/>
            </a:ext>
          </a:extLst>
        </xdr:cNvPr>
        <xdr:cNvPicPr>
          <a:picLocks noChangeAspect="1"/>
        </xdr:cNvPicPr>
      </xdr:nvPicPr>
      <xdr:blipFill>
        <a:blip xmlns:r="http://schemas.openxmlformats.org/officeDocument/2006/relationships" r:embed="rId3"/>
        <a:stretch>
          <a:fillRect/>
        </a:stretch>
      </xdr:blipFill>
      <xdr:spPr>
        <a:xfrm>
          <a:off x="962025" y="6953250"/>
          <a:ext cx="14038095" cy="2923809"/>
        </a:xfrm>
        <a:prstGeom prst="rect">
          <a:avLst/>
        </a:prstGeom>
      </xdr:spPr>
    </xdr:pic>
    <xdr:clientData/>
  </xdr:twoCellAnchor>
  <xdr:twoCellAnchor editAs="oneCell">
    <xdr:from>
      <xdr:col>2</xdr:col>
      <xdr:colOff>0</xdr:colOff>
      <xdr:row>46</xdr:row>
      <xdr:rowOff>190500</xdr:rowOff>
    </xdr:from>
    <xdr:to>
      <xdr:col>25</xdr:col>
      <xdr:colOff>17295</xdr:colOff>
      <xdr:row>64</xdr:row>
      <xdr:rowOff>9181</xdr:rowOff>
    </xdr:to>
    <xdr:pic>
      <xdr:nvPicPr>
        <xdr:cNvPr id="5" name="図 4">
          <a:extLst>
            <a:ext uri="{FF2B5EF4-FFF2-40B4-BE49-F238E27FC236}">
              <a16:creationId xmlns:a16="http://schemas.microsoft.com/office/drawing/2014/main" id="{6F7C70F3-8136-47FF-A4F7-1067A83E0670}"/>
            </a:ext>
          </a:extLst>
        </xdr:cNvPr>
        <xdr:cNvPicPr>
          <a:picLocks noChangeAspect="1"/>
        </xdr:cNvPicPr>
      </xdr:nvPicPr>
      <xdr:blipFill>
        <a:blip xmlns:r="http://schemas.openxmlformats.org/officeDocument/2006/relationships" r:embed="rId4"/>
        <a:stretch>
          <a:fillRect/>
        </a:stretch>
      </xdr:blipFill>
      <xdr:spPr>
        <a:xfrm>
          <a:off x="962025" y="9829800"/>
          <a:ext cx="14038095" cy="2752381"/>
        </a:xfrm>
        <a:prstGeom prst="rect">
          <a:avLst/>
        </a:prstGeom>
      </xdr:spPr>
    </xdr:pic>
    <xdr:clientData/>
  </xdr:twoCellAnchor>
  <xdr:twoCellAnchor>
    <xdr:from>
      <xdr:col>4</xdr:col>
      <xdr:colOff>180974</xdr:colOff>
      <xdr:row>24</xdr:row>
      <xdr:rowOff>19050</xdr:rowOff>
    </xdr:from>
    <xdr:to>
      <xdr:col>25</xdr:col>
      <xdr:colOff>104775</xdr:colOff>
      <xdr:row>30</xdr:row>
      <xdr:rowOff>76200</xdr:rowOff>
    </xdr:to>
    <xdr:sp macro="" textlink="">
      <xdr:nvSpPr>
        <xdr:cNvPr id="6" name="正方形/長方形 5">
          <a:extLst>
            <a:ext uri="{FF2B5EF4-FFF2-40B4-BE49-F238E27FC236}">
              <a16:creationId xmlns:a16="http://schemas.microsoft.com/office/drawing/2014/main" id="{CB98DE0B-54A2-47AF-B280-284ED1340AAB}"/>
            </a:ext>
          </a:extLst>
        </xdr:cNvPr>
        <xdr:cNvSpPr/>
      </xdr:nvSpPr>
      <xdr:spPr>
        <a:xfrm>
          <a:off x="2362199" y="3676650"/>
          <a:ext cx="12725401" cy="9715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180974</xdr:colOff>
      <xdr:row>40</xdr:row>
      <xdr:rowOff>57150</xdr:rowOff>
    </xdr:from>
    <xdr:to>
      <xdr:col>25</xdr:col>
      <xdr:colOff>104775</xdr:colOff>
      <xdr:row>46</xdr:row>
      <xdr:rowOff>95250</xdr:rowOff>
    </xdr:to>
    <xdr:sp macro="" textlink="">
      <xdr:nvSpPr>
        <xdr:cNvPr id="7" name="正方形/長方形 6">
          <a:extLst>
            <a:ext uri="{FF2B5EF4-FFF2-40B4-BE49-F238E27FC236}">
              <a16:creationId xmlns:a16="http://schemas.microsoft.com/office/drawing/2014/main" id="{781C21DB-6A85-4FBC-98EB-835E94192E31}"/>
            </a:ext>
          </a:extLst>
        </xdr:cNvPr>
        <xdr:cNvSpPr/>
      </xdr:nvSpPr>
      <xdr:spPr>
        <a:xfrm>
          <a:off x="2362199" y="6153150"/>
          <a:ext cx="12725401" cy="9525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xdr:col>
      <xdr:colOff>180974</xdr:colOff>
      <xdr:row>54</xdr:row>
      <xdr:rowOff>9525</xdr:rowOff>
    </xdr:from>
    <xdr:to>
      <xdr:col>25</xdr:col>
      <xdr:colOff>104775</xdr:colOff>
      <xdr:row>58</xdr:row>
      <xdr:rowOff>28575</xdr:rowOff>
    </xdr:to>
    <xdr:sp macro="" textlink="">
      <xdr:nvSpPr>
        <xdr:cNvPr id="8" name="正方形/長方形 7">
          <a:extLst>
            <a:ext uri="{FF2B5EF4-FFF2-40B4-BE49-F238E27FC236}">
              <a16:creationId xmlns:a16="http://schemas.microsoft.com/office/drawing/2014/main" id="{E9C08D24-BD86-43A8-87C0-B3761510C2BF}"/>
            </a:ext>
          </a:extLst>
        </xdr:cNvPr>
        <xdr:cNvSpPr/>
      </xdr:nvSpPr>
      <xdr:spPr>
        <a:xfrm>
          <a:off x="2362199" y="8239125"/>
          <a:ext cx="12725401" cy="6286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19</xdr:col>
      <xdr:colOff>76199</xdr:colOff>
      <xdr:row>8</xdr:row>
      <xdr:rowOff>152400</xdr:rowOff>
    </xdr:from>
    <xdr:to>
      <xdr:col>23</xdr:col>
      <xdr:colOff>152400</xdr:colOff>
      <xdr:row>60</xdr:row>
      <xdr:rowOff>152400</xdr:rowOff>
    </xdr:to>
    <xdr:sp macro="" textlink="">
      <xdr:nvSpPr>
        <xdr:cNvPr id="9" name="正方形/長方形 8">
          <a:extLst>
            <a:ext uri="{FF2B5EF4-FFF2-40B4-BE49-F238E27FC236}">
              <a16:creationId xmlns:a16="http://schemas.microsoft.com/office/drawing/2014/main" id="{B2EA7706-FAA0-4A93-9399-EF2A6790CB29}"/>
            </a:ext>
          </a:extLst>
        </xdr:cNvPr>
        <xdr:cNvSpPr/>
      </xdr:nvSpPr>
      <xdr:spPr>
        <a:xfrm>
          <a:off x="11401424" y="1828800"/>
          <a:ext cx="2514601" cy="108966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O74"/>
  <sheetViews>
    <sheetView tabSelected="1" zoomScale="85" zoomScaleNormal="85" zoomScaleSheetLayoutView="85" workbookViewId="0">
      <pane ySplit="3" topLeftCell="A13" activePane="bottomLeft" state="frozen"/>
      <selection activeCell="F120" sqref="F120"/>
      <selection pane="bottomLeft" activeCell="J15" sqref="J15"/>
    </sheetView>
  </sheetViews>
  <sheetFormatPr defaultColWidth="9.109375" defaultRowHeight="14.4" x14ac:dyDescent="0.2"/>
  <cols>
    <col min="1" max="1" width="3.109375" style="7" customWidth="1"/>
    <col min="2" max="2" width="5.44140625" style="7" customWidth="1"/>
    <col min="3" max="3" width="8" style="7" hidden="1" customWidth="1"/>
    <col min="4" max="4" width="16.109375" style="7" customWidth="1"/>
    <col min="5" max="5" width="14.109375" style="30" bestFit="1" customWidth="1"/>
    <col min="6" max="6" width="13.5546875" style="30" customWidth="1"/>
    <col min="7" max="7" width="32.6640625" style="30" customWidth="1"/>
    <col min="8" max="8" width="79.6640625" style="31" customWidth="1"/>
    <col min="9" max="9" width="14.6640625" style="32" customWidth="1"/>
    <col min="10" max="10" width="82.5546875" style="33" customWidth="1"/>
    <col min="11" max="11" width="18" style="33" customWidth="1"/>
    <col min="12" max="12" width="13.5546875" style="34" customWidth="1"/>
    <col min="13" max="13" width="39.33203125" style="35" customWidth="1"/>
    <col min="14" max="14" width="8.44140625" style="35" customWidth="1"/>
    <col min="15" max="16384" width="9.109375" style="7"/>
  </cols>
  <sheetData>
    <row r="1" spans="2:15" ht="51.75" customHeight="1" thickBot="1" x14ac:dyDescent="0.35">
      <c r="B1" s="36" t="s">
        <v>14</v>
      </c>
      <c r="C1" s="1"/>
      <c r="D1" s="1"/>
      <c r="E1" s="2"/>
      <c r="F1" s="2"/>
      <c r="G1" s="2"/>
      <c r="H1" s="3"/>
      <c r="I1" s="4">
        <f>COUNT(B4:B65536)</f>
        <v>12</v>
      </c>
      <c r="J1" s="3" t="s">
        <v>2</v>
      </c>
      <c r="K1" s="3"/>
      <c r="L1" s="4">
        <f>I1-COUNT(L4:L65536)</f>
        <v>8</v>
      </c>
      <c r="M1" s="5" t="s">
        <v>3</v>
      </c>
      <c r="N1" s="6"/>
    </row>
    <row r="2" spans="2:15" ht="35.25" customHeight="1" x14ac:dyDescent="0.2">
      <c r="B2" s="55"/>
      <c r="C2" s="56"/>
      <c r="D2" s="56"/>
      <c r="E2" s="57"/>
      <c r="F2" s="57"/>
      <c r="G2" s="57"/>
      <c r="H2" s="58"/>
      <c r="I2" s="59"/>
      <c r="J2" s="60"/>
      <c r="K2" s="60"/>
      <c r="L2" s="61" t="s">
        <v>4</v>
      </c>
      <c r="M2" s="62"/>
      <c r="N2" s="63"/>
      <c r="O2" s="63"/>
    </row>
    <row r="3" spans="2:15" ht="27.75" customHeight="1" thickBot="1" x14ac:dyDescent="0.25">
      <c r="B3" s="64" t="s">
        <v>5</v>
      </c>
      <c r="C3" s="65" t="s">
        <v>6</v>
      </c>
      <c r="D3" s="66" t="s">
        <v>1</v>
      </c>
      <c r="E3" s="67" t="s">
        <v>7</v>
      </c>
      <c r="F3" s="67" t="s">
        <v>16</v>
      </c>
      <c r="G3" s="67" t="s">
        <v>18</v>
      </c>
      <c r="H3" s="66" t="s">
        <v>8</v>
      </c>
      <c r="I3" s="67" t="s">
        <v>9</v>
      </c>
      <c r="J3" s="66" t="s">
        <v>10</v>
      </c>
      <c r="K3" s="66" t="s">
        <v>0</v>
      </c>
      <c r="L3" s="68" t="s">
        <v>11</v>
      </c>
      <c r="M3" s="69" t="s">
        <v>12</v>
      </c>
      <c r="N3" s="70" t="s">
        <v>13</v>
      </c>
      <c r="O3" s="71"/>
    </row>
    <row r="4" spans="2:15" ht="166.5" customHeight="1" x14ac:dyDescent="0.15">
      <c r="B4" s="38">
        <v>1</v>
      </c>
      <c r="C4" s="39"/>
      <c r="D4" s="39" t="s">
        <v>15</v>
      </c>
      <c r="E4" s="40">
        <v>46126</v>
      </c>
      <c r="F4" s="40" t="s">
        <v>17</v>
      </c>
      <c r="G4" s="40" t="s">
        <v>19</v>
      </c>
      <c r="H4" s="41" t="s">
        <v>23</v>
      </c>
      <c r="I4" s="42">
        <v>46129</v>
      </c>
      <c r="J4" s="41" t="s">
        <v>32</v>
      </c>
      <c r="K4" s="39" t="s">
        <v>30</v>
      </c>
      <c r="L4" s="42">
        <v>46127</v>
      </c>
      <c r="M4" s="51"/>
      <c r="N4" s="43"/>
      <c r="O4" s="48"/>
    </row>
    <row r="5" spans="2:15" ht="137.25" customHeight="1" x14ac:dyDescent="0.15">
      <c r="B5" s="14">
        <f t="shared" ref="B5:B15" si="0">B4+1</f>
        <v>2</v>
      </c>
      <c r="C5" s="15"/>
      <c r="D5" s="15" t="s">
        <v>15</v>
      </c>
      <c r="E5" s="16">
        <v>46119</v>
      </c>
      <c r="F5" s="16" t="s">
        <v>20</v>
      </c>
      <c r="G5" s="16" t="s">
        <v>22</v>
      </c>
      <c r="H5" s="17" t="s">
        <v>21</v>
      </c>
      <c r="I5" s="18">
        <v>46129</v>
      </c>
      <c r="J5" s="17" t="s">
        <v>31</v>
      </c>
      <c r="K5" s="9" t="s">
        <v>30</v>
      </c>
      <c r="L5" s="18">
        <v>46127</v>
      </c>
      <c r="M5" s="19"/>
      <c r="N5" s="20"/>
      <c r="O5" s="49"/>
    </row>
    <row r="6" spans="2:15" ht="382.5" customHeight="1" x14ac:dyDescent="0.15">
      <c r="B6" s="14">
        <f t="shared" si="0"/>
        <v>3</v>
      </c>
      <c r="C6" s="15"/>
      <c r="D6" s="15" t="s">
        <v>15</v>
      </c>
      <c r="E6" s="16">
        <v>46126</v>
      </c>
      <c r="F6" s="16" t="s">
        <v>20</v>
      </c>
      <c r="G6" s="16" t="s">
        <v>24</v>
      </c>
      <c r="H6" s="17" t="s">
        <v>25</v>
      </c>
      <c r="I6" s="18">
        <v>46129</v>
      </c>
      <c r="J6" s="17" t="s">
        <v>49</v>
      </c>
      <c r="K6" s="9" t="s">
        <v>30</v>
      </c>
      <c r="L6" s="24">
        <v>46132</v>
      </c>
      <c r="M6" s="19"/>
      <c r="N6" s="45"/>
      <c r="O6" s="50"/>
    </row>
    <row r="7" spans="2:15" ht="388.8" x14ac:dyDescent="0.15">
      <c r="B7" s="14">
        <f t="shared" si="0"/>
        <v>4</v>
      </c>
      <c r="C7" s="15"/>
      <c r="D7" s="15" t="s">
        <v>15</v>
      </c>
      <c r="E7" s="16">
        <v>46126</v>
      </c>
      <c r="F7" s="16" t="s">
        <v>20</v>
      </c>
      <c r="G7" s="16" t="s">
        <v>26</v>
      </c>
      <c r="H7" s="11" t="s">
        <v>27</v>
      </c>
      <c r="I7" s="18">
        <v>46129</v>
      </c>
      <c r="J7" s="11" t="s">
        <v>50</v>
      </c>
      <c r="K7" s="9" t="s">
        <v>30</v>
      </c>
      <c r="L7" s="18"/>
      <c r="M7" s="13"/>
      <c r="N7" s="45"/>
      <c r="O7" s="50"/>
    </row>
    <row r="8" spans="2:15" ht="169.5" customHeight="1" x14ac:dyDescent="0.15">
      <c r="B8" s="14">
        <f t="shared" si="0"/>
        <v>5</v>
      </c>
      <c r="C8" s="15"/>
      <c r="D8" s="15" t="s">
        <v>15</v>
      </c>
      <c r="E8" s="16">
        <v>46126</v>
      </c>
      <c r="F8" s="16" t="s">
        <v>20</v>
      </c>
      <c r="G8" s="72" t="s">
        <v>28</v>
      </c>
      <c r="H8" s="11" t="s">
        <v>29</v>
      </c>
      <c r="I8" s="18">
        <v>46129</v>
      </c>
      <c r="J8" s="11" t="s">
        <v>48</v>
      </c>
      <c r="K8" s="9" t="s">
        <v>30</v>
      </c>
      <c r="L8" s="37">
        <v>46132</v>
      </c>
      <c r="M8" s="13"/>
      <c r="N8" s="45"/>
      <c r="O8" s="50"/>
    </row>
    <row r="9" spans="2:15" ht="259.2" x14ac:dyDescent="0.15">
      <c r="B9" s="14">
        <f t="shared" si="0"/>
        <v>6</v>
      </c>
      <c r="C9" s="15"/>
      <c r="D9" s="15" t="s">
        <v>15</v>
      </c>
      <c r="E9" s="10">
        <v>46129</v>
      </c>
      <c r="F9" s="16" t="s">
        <v>20</v>
      </c>
      <c r="G9" s="10" t="s">
        <v>33</v>
      </c>
      <c r="H9" s="11" t="s">
        <v>34</v>
      </c>
      <c r="I9" s="12">
        <v>46132</v>
      </c>
      <c r="J9" s="11" t="s">
        <v>51</v>
      </c>
      <c r="K9" s="9" t="s">
        <v>30</v>
      </c>
      <c r="L9" s="37"/>
      <c r="M9" s="13"/>
      <c r="N9" s="45"/>
      <c r="O9" s="49"/>
    </row>
    <row r="10" spans="2:15" ht="137.25" customHeight="1" x14ac:dyDescent="0.15">
      <c r="B10" s="14">
        <f t="shared" si="0"/>
        <v>7</v>
      </c>
      <c r="C10" s="15"/>
      <c r="D10" s="15" t="s">
        <v>15</v>
      </c>
      <c r="E10" s="10">
        <v>46132</v>
      </c>
      <c r="F10" s="16" t="s">
        <v>20</v>
      </c>
      <c r="G10" s="10" t="s">
        <v>43</v>
      </c>
      <c r="H10" s="11" t="s">
        <v>44</v>
      </c>
      <c r="I10" s="12">
        <v>46134</v>
      </c>
      <c r="J10" s="11" t="s">
        <v>46</v>
      </c>
      <c r="K10" s="9" t="s">
        <v>30</v>
      </c>
      <c r="L10" s="52"/>
      <c r="M10" s="53"/>
      <c r="N10" s="45"/>
      <c r="O10" s="50"/>
    </row>
    <row r="11" spans="2:15" ht="206.25" customHeight="1" x14ac:dyDescent="0.15">
      <c r="B11" s="14">
        <f t="shared" si="0"/>
        <v>8</v>
      </c>
      <c r="C11" s="15"/>
      <c r="D11" s="15" t="s">
        <v>15</v>
      </c>
      <c r="E11" s="10">
        <v>46132</v>
      </c>
      <c r="F11" s="16" t="s">
        <v>20</v>
      </c>
      <c r="G11" s="10" t="s">
        <v>45</v>
      </c>
      <c r="H11" s="11" t="s">
        <v>52</v>
      </c>
      <c r="I11" s="12">
        <v>46134</v>
      </c>
      <c r="J11" s="11" t="s">
        <v>47</v>
      </c>
      <c r="K11" s="9" t="s">
        <v>30</v>
      </c>
      <c r="L11" s="37"/>
      <c r="M11" s="13"/>
      <c r="N11" s="45"/>
      <c r="O11" s="49"/>
    </row>
    <row r="12" spans="2:15" ht="264.75" customHeight="1" x14ac:dyDescent="0.15">
      <c r="B12" s="14">
        <f t="shared" si="0"/>
        <v>9</v>
      </c>
      <c r="C12" s="15"/>
      <c r="D12" s="15" t="s">
        <v>15</v>
      </c>
      <c r="E12" s="10">
        <v>46139</v>
      </c>
      <c r="F12" s="16" t="s">
        <v>20</v>
      </c>
      <c r="G12" s="10" t="s">
        <v>53</v>
      </c>
      <c r="H12" s="11" t="s">
        <v>54</v>
      </c>
      <c r="I12" s="82">
        <v>46140</v>
      </c>
      <c r="J12" s="11" t="s">
        <v>59</v>
      </c>
      <c r="K12" s="9" t="s">
        <v>30</v>
      </c>
      <c r="L12" s="37"/>
      <c r="M12" s="54"/>
      <c r="N12" s="45"/>
      <c r="O12" s="49"/>
    </row>
    <row r="13" spans="2:15" ht="409.5" customHeight="1" x14ac:dyDescent="0.15">
      <c r="B13" s="14">
        <f t="shared" si="0"/>
        <v>10</v>
      </c>
      <c r="C13" s="15"/>
      <c r="D13" s="15" t="s">
        <v>15</v>
      </c>
      <c r="E13" s="10">
        <v>46139</v>
      </c>
      <c r="F13" s="16" t="s">
        <v>20</v>
      </c>
      <c r="G13" s="10" t="s">
        <v>55</v>
      </c>
      <c r="H13" s="11" t="s">
        <v>56</v>
      </c>
      <c r="I13" s="82">
        <v>46140</v>
      </c>
      <c r="J13" s="11" t="s">
        <v>65</v>
      </c>
      <c r="K13" s="9" t="s">
        <v>30</v>
      </c>
      <c r="L13" s="37"/>
      <c r="M13" s="13"/>
      <c r="N13" s="45"/>
      <c r="O13" s="49"/>
    </row>
    <row r="14" spans="2:15" ht="147" customHeight="1" x14ac:dyDescent="0.15">
      <c r="B14" s="14">
        <f t="shared" si="0"/>
        <v>11</v>
      </c>
      <c r="C14" s="15"/>
      <c r="D14" s="15" t="s">
        <v>15</v>
      </c>
      <c r="E14" s="10">
        <v>46139</v>
      </c>
      <c r="F14" s="16" t="s">
        <v>20</v>
      </c>
      <c r="G14" s="10" t="s">
        <v>58</v>
      </c>
      <c r="H14" s="11" t="s">
        <v>57</v>
      </c>
      <c r="I14" s="82">
        <v>46140</v>
      </c>
      <c r="J14" s="11" t="s">
        <v>64</v>
      </c>
      <c r="K14" s="9" t="s">
        <v>30</v>
      </c>
      <c r="L14" s="37"/>
      <c r="M14" s="13"/>
      <c r="N14" s="45"/>
      <c r="O14" s="49"/>
    </row>
    <row r="15" spans="2:15" ht="115.2" x14ac:dyDescent="0.15">
      <c r="B15" s="14">
        <f t="shared" si="0"/>
        <v>12</v>
      </c>
      <c r="C15" s="15"/>
      <c r="D15" s="15" t="s">
        <v>15</v>
      </c>
      <c r="E15" s="10">
        <v>46149</v>
      </c>
      <c r="F15" s="10" t="s">
        <v>60</v>
      </c>
      <c r="G15" s="10" t="s">
        <v>61</v>
      </c>
      <c r="H15" s="11" t="s">
        <v>62</v>
      </c>
      <c r="I15" s="12">
        <v>46150</v>
      </c>
      <c r="J15" s="83" t="s">
        <v>63</v>
      </c>
      <c r="K15" s="9" t="s">
        <v>30</v>
      </c>
      <c r="L15" s="37"/>
      <c r="M15" s="13"/>
      <c r="N15" s="45"/>
      <c r="O15" s="50"/>
    </row>
    <row r="16" spans="2:15" ht="39.9" customHeight="1" x14ac:dyDescent="0.15">
      <c r="B16" s="8"/>
      <c r="C16" s="9"/>
      <c r="D16" s="9"/>
      <c r="E16" s="12"/>
      <c r="F16" s="12"/>
      <c r="G16" s="12"/>
      <c r="H16" s="11"/>
      <c r="I16" s="12"/>
      <c r="J16" s="11"/>
      <c r="K16" s="11"/>
      <c r="L16" s="37"/>
      <c r="M16" s="13"/>
      <c r="N16" s="45"/>
      <c r="O16" s="50"/>
    </row>
    <row r="17" spans="2:15" ht="39.9" customHeight="1" x14ac:dyDescent="0.15">
      <c r="B17" s="8"/>
      <c r="C17" s="9"/>
      <c r="D17" s="9"/>
      <c r="E17" s="12"/>
      <c r="F17" s="12"/>
      <c r="G17" s="12"/>
      <c r="H17" s="11"/>
      <c r="I17" s="12"/>
      <c r="J17" s="11"/>
      <c r="K17" s="11"/>
      <c r="L17" s="37"/>
      <c r="M17" s="13"/>
      <c r="N17" s="45"/>
      <c r="O17" s="50"/>
    </row>
    <row r="18" spans="2:15" ht="39.9" customHeight="1" x14ac:dyDescent="0.15">
      <c r="B18" s="8"/>
      <c r="C18" s="9"/>
      <c r="D18" s="9"/>
      <c r="E18" s="12"/>
      <c r="F18" s="12"/>
      <c r="G18" s="12"/>
      <c r="H18" s="11"/>
      <c r="I18" s="12"/>
      <c r="J18" s="11"/>
      <c r="K18" s="11"/>
      <c r="L18" s="37"/>
      <c r="M18" s="13"/>
      <c r="N18" s="45"/>
      <c r="O18" s="50"/>
    </row>
    <row r="19" spans="2:15" ht="39.9" customHeight="1" x14ac:dyDescent="0.15">
      <c r="B19" s="8"/>
      <c r="C19" s="9"/>
      <c r="D19" s="9"/>
      <c r="E19" s="10"/>
      <c r="F19" s="10"/>
      <c r="G19" s="10"/>
      <c r="H19" s="11"/>
      <c r="I19" s="12"/>
      <c r="J19" s="11"/>
      <c r="K19" s="11"/>
      <c r="L19" s="37"/>
      <c r="M19" s="13"/>
      <c r="N19" s="45"/>
      <c r="O19" s="50"/>
    </row>
    <row r="20" spans="2:15" ht="39.9" customHeight="1" x14ac:dyDescent="0.15">
      <c r="B20" s="8"/>
      <c r="C20" s="9"/>
      <c r="D20" s="9"/>
      <c r="E20" s="10"/>
      <c r="F20" s="10"/>
      <c r="G20" s="10"/>
      <c r="H20" s="11"/>
      <c r="I20" s="12"/>
      <c r="J20" s="11"/>
      <c r="K20" s="11"/>
      <c r="L20" s="37"/>
      <c r="M20" s="13"/>
      <c r="N20" s="45"/>
      <c r="O20" s="50"/>
    </row>
    <row r="21" spans="2:15" ht="39.9" customHeight="1" x14ac:dyDescent="0.15">
      <c r="B21" s="8"/>
      <c r="C21" s="9"/>
      <c r="D21" s="9"/>
      <c r="E21" s="10"/>
      <c r="F21" s="10"/>
      <c r="G21" s="10"/>
      <c r="H21" s="11"/>
      <c r="I21" s="12"/>
      <c r="J21" s="11"/>
      <c r="K21" s="11"/>
      <c r="L21" s="37"/>
      <c r="M21" s="13"/>
      <c r="N21" s="45"/>
      <c r="O21" s="50"/>
    </row>
    <row r="22" spans="2:15" ht="39.9" customHeight="1" x14ac:dyDescent="0.15">
      <c r="B22" s="14"/>
      <c r="C22" s="9"/>
      <c r="D22" s="15"/>
      <c r="E22" s="16"/>
      <c r="F22" s="16"/>
      <c r="G22" s="16"/>
      <c r="H22" s="17"/>
      <c r="I22" s="18"/>
      <c r="J22" s="17"/>
      <c r="K22" s="17"/>
      <c r="L22" s="24"/>
      <c r="M22" s="19"/>
      <c r="N22" s="44"/>
      <c r="O22" s="50"/>
    </row>
    <row r="23" spans="2:15" ht="39.9" customHeight="1" x14ac:dyDescent="0.15">
      <c r="B23" s="14"/>
      <c r="C23" s="9"/>
      <c r="D23" s="15"/>
      <c r="E23" s="16"/>
      <c r="F23" s="16"/>
      <c r="G23" s="16"/>
      <c r="H23" s="17"/>
      <c r="I23" s="18"/>
      <c r="J23" s="17"/>
      <c r="K23" s="17"/>
      <c r="L23" s="24"/>
      <c r="M23" s="19"/>
      <c r="N23" s="44"/>
      <c r="O23" s="50"/>
    </row>
    <row r="24" spans="2:15" ht="39.9" customHeight="1" x14ac:dyDescent="0.15">
      <c r="B24" s="8"/>
      <c r="C24" s="9"/>
      <c r="D24" s="9"/>
      <c r="E24" s="10"/>
      <c r="F24" s="10"/>
      <c r="G24" s="10"/>
      <c r="H24" s="11"/>
      <c r="I24" s="12"/>
      <c r="J24" s="11"/>
      <c r="K24" s="11"/>
      <c r="L24" s="37"/>
      <c r="M24" s="13"/>
      <c r="N24" s="45"/>
      <c r="O24" s="50"/>
    </row>
    <row r="25" spans="2:15" ht="39.9" customHeight="1" x14ac:dyDescent="0.15">
      <c r="B25" s="8"/>
      <c r="C25" s="9"/>
      <c r="D25" s="9"/>
      <c r="E25" s="10"/>
      <c r="F25" s="10"/>
      <c r="G25" s="10"/>
      <c r="H25" s="11"/>
      <c r="I25" s="12"/>
      <c r="J25" s="11"/>
      <c r="K25" s="11"/>
      <c r="L25" s="37"/>
      <c r="M25" s="13"/>
      <c r="N25" s="45"/>
      <c r="O25" s="50"/>
    </row>
    <row r="26" spans="2:15" ht="39.9" customHeight="1" x14ac:dyDescent="0.15">
      <c r="B26" s="14"/>
      <c r="C26" s="9"/>
      <c r="D26" s="15"/>
      <c r="E26" s="16"/>
      <c r="F26" s="16"/>
      <c r="G26" s="16"/>
      <c r="H26" s="17"/>
      <c r="I26" s="18"/>
      <c r="J26" s="17"/>
      <c r="K26" s="17"/>
      <c r="L26" s="24"/>
      <c r="M26" s="19"/>
      <c r="N26" s="45"/>
      <c r="O26" s="50"/>
    </row>
    <row r="27" spans="2:15" ht="39.9" customHeight="1" x14ac:dyDescent="0.15">
      <c r="B27" s="8"/>
      <c r="C27" s="9"/>
      <c r="D27" s="9"/>
      <c r="E27" s="10"/>
      <c r="F27" s="10"/>
      <c r="G27" s="10"/>
      <c r="H27" s="11"/>
      <c r="I27" s="12"/>
      <c r="J27" s="11"/>
      <c r="K27" s="11"/>
      <c r="L27" s="37"/>
      <c r="M27" s="13"/>
      <c r="N27" s="45"/>
      <c r="O27" s="50"/>
    </row>
    <row r="28" spans="2:15" ht="39.9" customHeight="1" x14ac:dyDescent="0.15">
      <c r="B28" s="8"/>
      <c r="C28" s="9"/>
      <c r="D28" s="9"/>
      <c r="E28" s="10"/>
      <c r="F28" s="10"/>
      <c r="G28" s="10"/>
      <c r="H28" s="11"/>
      <c r="I28" s="12"/>
      <c r="J28" s="11"/>
      <c r="K28" s="11"/>
      <c r="L28" s="37"/>
      <c r="M28" s="13"/>
      <c r="N28" s="45"/>
      <c r="O28" s="50"/>
    </row>
    <row r="29" spans="2:15" ht="39.9" customHeight="1" x14ac:dyDescent="0.15">
      <c r="B29" s="8"/>
      <c r="C29" s="9"/>
      <c r="D29" s="9"/>
      <c r="E29" s="10"/>
      <c r="F29" s="10"/>
      <c r="G29" s="10"/>
      <c r="H29" s="11"/>
      <c r="I29" s="12"/>
      <c r="J29" s="11"/>
      <c r="K29" s="11"/>
      <c r="L29" s="37"/>
      <c r="M29" s="13"/>
      <c r="N29" s="45"/>
      <c r="O29" s="50"/>
    </row>
    <row r="30" spans="2:15" ht="39.9" customHeight="1" x14ac:dyDescent="0.15">
      <c r="B30" s="8"/>
      <c r="C30" s="9"/>
      <c r="D30" s="9"/>
      <c r="E30" s="10"/>
      <c r="F30" s="10"/>
      <c r="G30" s="10"/>
      <c r="H30" s="11"/>
      <c r="I30" s="12"/>
      <c r="J30" s="11"/>
      <c r="K30" s="11"/>
      <c r="L30" s="37"/>
      <c r="M30" s="13"/>
      <c r="N30" s="45"/>
      <c r="O30" s="50"/>
    </row>
    <row r="31" spans="2:15" ht="39.9" customHeight="1" x14ac:dyDescent="0.15">
      <c r="B31" s="8"/>
      <c r="C31" s="9"/>
      <c r="D31" s="9"/>
      <c r="E31" s="10"/>
      <c r="F31" s="10"/>
      <c r="G31" s="10"/>
      <c r="H31" s="11"/>
      <c r="I31" s="12"/>
      <c r="J31" s="11"/>
      <c r="K31" s="11"/>
      <c r="L31" s="37"/>
      <c r="M31" s="13"/>
      <c r="N31" s="45"/>
      <c r="O31" s="50"/>
    </row>
    <row r="32" spans="2:15" ht="39.9" customHeight="1" x14ac:dyDescent="0.15">
      <c r="B32" s="14"/>
      <c r="C32" s="9"/>
      <c r="D32" s="15"/>
      <c r="E32" s="16"/>
      <c r="F32" s="16"/>
      <c r="G32" s="16"/>
      <c r="H32" s="17"/>
      <c r="I32" s="18"/>
      <c r="J32" s="17"/>
      <c r="K32" s="17"/>
      <c r="L32" s="24"/>
      <c r="M32" s="19"/>
      <c r="N32" s="44"/>
      <c r="O32" s="50"/>
    </row>
    <row r="33" spans="2:15" ht="39.9" customHeight="1" x14ac:dyDescent="0.15">
      <c r="B33" s="8"/>
      <c r="C33" s="9"/>
      <c r="D33" s="9"/>
      <c r="E33" s="10"/>
      <c r="F33" s="10"/>
      <c r="G33" s="10"/>
      <c r="H33" s="11"/>
      <c r="I33" s="12"/>
      <c r="J33" s="11"/>
      <c r="K33" s="11"/>
      <c r="L33" s="37"/>
      <c r="M33" s="13"/>
      <c r="N33" s="45"/>
      <c r="O33" s="50"/>
    </row>
    <row r="34" spans="2:15" ht="39.9" customHeight="1" x14ac:dyDescent="0.15">
      <c r="B34" s="14"/>
      <c r="C34" s="9"/>
      <c r="D34" s="15"/>
      <c r="E34" s="16"/>
      <c r="F34" s="16"/>
      <c r="G34" s="16"/>
      <c r="H34" s="17"/>
      <c r="I34" s="18"/>
      <c r="J34" s="17"/>
      <c r="K34" s="17"/>
      <c r="L34" s="24"/>
      <c r="M34" s="19"/>
      <c r="N34" s="44"/>
      <c r="O34" s="50"/>
    </row>
    <row r="35" spans="2:15" ht="39.9" customHeight="1" x14ac:dyDescent="0.15">
      <c r="B35" s="8"/>
      <c r="C35" s="9"/>
      <c r="D35" s="9"/>
      <c r="E35" s="10"/>
      <c r="F35" s="10"/>
      <c r="G35" s="10"/>
      <c r="H35" s="11"/>
      <c r="I35" s="12"/>
      <c r="J35" s="11"/>
      <c r="K35" s="11"/>
      <c r="L35" s="37"/>
      <c r="M35" s="13"/>
      <c r="N35" s="45"/>
      <c r="O35" s="50"/>
    </row>
    <row r="36" spans="2:15" ht="39.9" customHeight="1" x14ac:dyDescent="0.15">
      <c r="B36" s="8"/>
      <c r="C36" s="9"/>
      <c r="D36" s="9"/>
      <c r="E36" s="10"/>
      <c r="F36" s="10"/>
      <c r="G36" s="10"/>
      <c r="H36" s="11"/>
      <c r="I36" s="12"/>
      <c r="J36" s="11"/>
      <c r="K36" s="11"/>
      <c r="L36" s="37"/>
      <c r="M36" s="13"/>
      <c r="N36" s="45"/>
      <c r="O36" s="50"/>
    </row>
    <row r="37" spans="2:15" ht="39.9" customHeight="1" x14ac:dyDescent="0.15">
      <c r="B37" s="14"/>
      <c r="C37" s="9"/>
      <c r="D37" s="15"/>
      <c r="E37" s="16"/>
      <c r="F37" s="16"/>
      <c r="G37" s="16"/>
      <c r="H37" s="17"/>
      <c r="I37" s="18"/>
      <c r="J37" s="17"/>
      <c r="K37" s="17"/>
      <c r="L37" s="24"/>
      <c r="M37" s="19"/>
      <c r="N37" s="45"/>
      <c r="O37" s="50"/>
    </row>
    <row r="38" spans="2:15" ht="39.9" customHeight="1" x14ac:dyDescent="0.15">
      <c r="B38" s="8"/>
      <c r="C38" s="9"/>
      <c r="D38" s="9"/>
      <c r="E38" s="10"/>
      <c r="F38" s="10"/>
      <c r="G38" s="10"/>
      <c r="H38" s="11"/>
      <c r="I38" s="12"/>
      <c r="J38" s="11"/>
      <c r="K38" s="11"/>
      <c r="L38" s="37"/>
      <c r="M38" s="13"/>
      <c r="N38" s="45"/>
      <c r="O38" s="50"/>
    </row>
    <row r="39" spans="2:15" ht="39.9" customHeight="1" x14ac:dyDescent="0.15">
      <c r="B39" s="14"/>
      <c r="C39" s="9"/>
      <c r="D39" s="15"/>
      <c r="E39" s="16"/>
      <c r="F39" s="16"/>
      <c r="G39" s="16"/>
      <c r="H39" s="17"/>
      <c r="I39" s="18"/>
      <c r="J39" s="17"/>
      <c r="K39" s="17"/>
      <c r="L39" s="24"/>
      <c r="M39" s="19"/>
      <c r="N39" s="45"/>
      <c r="O39" s="50"/>
    </row>
    <row r="40" spans="2:15" ht="39.9" customHeight="1" x14ac:dyDescent="0.15">
      <c r="B40" s="8"/>
      <c r="C40" s="9"/>
      <c r="D40" s="15"/>
      <c r="E40" s="16"/>
      <c r="F40" s="10"/>
      <c r="G40" s="10"/>
      <c r="H40" s="11"/>
      <c r="I40" s="12"/>
      <c r="J40" s="11"/>
      <c r="K40" s="11"/>
      <c r="L40" s="37"/>
      <c r="M40" s="13"/>
      <c r="N40" s="45"/>
      <c r="O40" s="50"/>
    </row>
    <row r="41" spans="2:15" ht="39.9" customHeight="1" x14ac:dyDescent="0.15">
      <c r="B41" s="8"/>
      <c r="C41" s="9"/>
      <c r="D41" s="15"/>
      <c r="E41" s="16"/>
      <c r="F41" s="10"/>
      <c r="G41" s="10"/>
      <c r="H41" s="11"/>
      <c r="I41" s="12"/>
      <c r="J41" s="11"/>
      <c r="K41" s="11"/>
      <c r="L41" s="37"/>
      <c r="M41" s="13"/>
      <c r="N41" s="45"/>
      <c r="O41" s="50"/>
    </row>
    <row r="42" spans="2:15" ht="39.9" customHeight="1" x14ac:dyDescent="0.15">
      <c r="B42" s="14"/>
      <c r="C42" s="9"/>
      <c r="D42" s="15"/>
      <c r="E42" s="16"/>
      <c r="F42" s="16"/>
      <c r="G42" s="16"/>
      <c r="H42" s="17"/>
      <c r="I42" s="18"/>
      <c r="J42" s="17"/>
      <c r="K42" s="17"/>
      <c r="L42" s="24"/>
      <c r="M42" s="19"/>
      <c r="N42" s="44"/>
      <c r="O42" s="50"/>
    </row>
    <row r="43" spans="2:15" ht="39.9" customHeight="1" x14ac:dyDescent="0.15">
      <c r="B43" s="14"/>
      <c r="C43" s="9"/>
      <c r="D43" s="15"/>
      <c r="E43" s="16"/>
      <c r="F43" s="16"/>
      <c r="G43" s="16"/>
      <c r="H43" s="17"/>
      <c r="I43" s="18"/>
      <c r="J43" s="17"/>
      <c r="K43" s="17"/>
      <c r="L43" s="24"/>
      <c r="M43" s="19"/>
      <c r="N43" s="46"/>
      <c r="O43" s="50"/>
    </row>
    <row r="44" spans="2:15" ht="39.9" customHeight="1" x14ac:dyDescent="0.15">
      <c r="B44" s="14"/>
      <c r="C44" s="9"/>
      <c r="D44" s="15"/>
      <c r="E44" s="16"/>
      <c r="F44" s="16"/>
      <c r="G44" s="16"/>
      <c r="H44" s="17"/>
      <c r="I44" s="18"/>
      <c r="J44" s="17"/>
      <c r="K44" s="17"/>
      <c r="L44" s="24"/>
      <c r="M44" s="19"/>
      <c r="N44" s="44"/>
      <c r="O44" s="50"/>
    </row>
    <row r="45" spans="2:15" ht="39.9" customHeight="1" x14ac:dyDescent="0.15">
      <c r="B45" s="14"/>
      <c r="C45" s="9"/>
      <c r="D45" s="15"/>
      <c r="E45" s="16"/>
      <c r="F45" s="16"/>
      <c r="G45" s="16"/>
      <c r="H45" s="17"/>
      <c r="I45" s="18"/>
      <c r="J45" s="17"/>
      <c r="K45" s="17"/>
      <c r="L45" s="24"/>
      <c r="M45" s="19"/>
      <c r="N45" s="44"/>
      <c r="O45" s="49"/>
    </row>
    <row r="46" spans="2:15" ht="39.9" customHeight="1" x14ac:dyDescent="0.15">
      <c r="B46" s="21"/>
      <c r="D46" s="21"/>
      <c r="E46" s="22"/>
      <c r="F46" s="22"/>
      <c r="G46" s="22"/>
      <c r="H46" s="23"/>
      <c r="I46" s="24"/>
      <c r="J46" s="17"/>
      <c r="K46" s="17"/>
      <c r="L46" s="24"/>
      <c r="M46" s="25"/>
      <c r="N46" s="47"/>
      <c r="O46" s="50"/>
    </row>
    <row r="47" spans="2:15" ht="39.9" customHeight="1" x14ac:dyDescent="0.15">
      <c r="B47" s="21"/>
      <c r="D47" s="21"/>
      <c r="E47" s="22"/>
      <c r="F47" s="22"/>
      <c r="G47" s="22"/>
      <c r="H47" s="26"/>
      <c r="I47" s="24"/>
      <c r="J47" s="17"/>
      <c r="K47" s="17"/>
      <c r="L47" s="24"/>
      <c r="M47" s="25"/>
      <c r="N47" s="47"/>
      <c r="O47" s="50"/>
    </row>
    <row r="48" spans="2:15" ht="39.9" customHeight="1" x14ac:dyDescent="0.15">
      <c r="B48" s="21"/>
      <c r="D48" s="21"/>
      <c r="E48" s="22"/>
      <c r="F48" s="22"/>
      <c r="G48" s="22"/>
      <c r="H48" s="27"/>
      <c r="I48" s="18"/>
      <c r="J48" s="17"/>
      <c r="K48" s="17"/>
      <c r="L48" s="24"/>
      <c r="M48" s="25"/>
      <c r="N48" s="47"/>
      <c r="O48" s="50"/>
    </row>
    <row r="49" spans="2:15" ht="39.9" customHeight="1" x14ac:dyDescent="0.15">
      <c r="B49" s="21"/>
      <c r="D49" s="21"/>
      <c r="E49" s="22"/>
      <c r="F49" s="22"/>
      <c r="G49" s="22"/>
      <c r="H49" s="27"/>
      <c r="I49" s="18"/>
      <c r="J49" s="17"/>
      <c r="K49" s="17"/>
      <c r="L49" s="24"/>
      <c r="M49" s="25"/>
      <c r="N49" s="47"/>
      <c r="O49" s="50"/>
    </row>
    <row r="50" spans="2:15" ht="39.9" customHeight="1" x14ac:dyDescent="0.15">
      <c r="B50" s="21"/>
      <c r="D50" s="21"/>
      <c r="E50" s="22"/>
      <c r="F50" s="22"/>
      <c r="G50" s="22"/>
      <c r="H50" s="27"/>
      <c r="I50" s="18"/>
      <c r="J50" s="17"/>
      <c r="K50" s="17"/>
      <c r="L50" s="24"/>
      <c r="M50" s="25"/>
      <c r="N50" s="47"/>
      <c r="O50" s="50"/>
    </row>
    <row r="51" spans="2:15" ht="39.9" customHeight="1" x14ac:dyDescent="0.15">
      <c r="B51" s="21"/>
      <c r="D51" s="21"/>
      <c r="E51" s="22"/>
      <c r="F51" s="22"/>
      <c r="G51" s="22"/>
      <c r="H51" s="27"/>
      <c r="I51" s="18"/>
      <c r="J51" s="17"/>
      <c r="K51" s="17"/>
      <c r="L51" s="24"/>
      <c r="M51" s="25"/>
      <c r="N51" s="47"/>
      <c r="O51" s="50"/>
    </row>
    <row r="52" spans="2:15" ht="39.9" customHeight="1" x14ac:dyDescent="0.15">
      <c r="B52" s="21"/>
      <c r="D52" s="21"/>
      <c r="E52" s="22"/>
      <c r="F52" s="22"/>
      <c r="G52" s="22"/>
      <c r="H52" s="27"/>
      <c r="I52" s="18"/>
      <c r="J52" s="17"/>
      <c r="K52" s="17"/>
      <c r="L52" s="24"/>
      <c r="M52" s="28"/>
      <c r="N52" s="47"/>
      <c r="O52" s="49"/>
    </row>
    <row r="53" spans="2:15" ht="39.9" customHeight="1" x14ac:dyDescent="0.15">
      <c r="B53" s="21"/>
      <c r="D53" s="21"/>
      <c r="E53" s="22"/>
      <c r="F53" s="22"/>
      <c r="G53" s="22"/>
      <c r="H53" s="27"/>
      <c r="I53" s="18"/>
      <c r="J53" s="17"/>
      <c r="K53" s="17"/>
      <c r="L53" s="24"/>
      <c r="M53" s="25"/>
      <c r="N53" s="47"/>
      <c r="O53" s="49"/>
    </row>
    <row r="54" spans="2:15" ht="39.9" customHeight="1" x14ac:dyDescent="0.15">
      <c r="B54" s="21"/>
      <c r="D54" s="21"/>
      <c r="E54" s="22"/>
      <c r="F54" s="22"/>
      <c r="G54" s="22"/>
      <c r="H54" s="27"/>
      <c r="I54" s="18"/>
      <c r="J54" s="17"/>
      <c r="K54" s="17"/>
      <c r="L54" s="24"/>
      <c r="M54" s="25"/>
      <c r="N54" s="47"/>
      <c r="O54" s="50"/>
    </row>
    <row r="55" spans="2:15" ht="39.9" customHeight="1" x14ac:dyDescent="0.15">
      <c r="B55" s="21"/>
      <c r="D55" s="21"/>
      <c r="E55" s="22"/>
      <c r="F55" s="22"/>
      <c r="G55" s="22"/>
      <c r="H55" s="27"/>
      <c r="I55" s="18"/>
      <c r="J55" s="17"/>
      <c r="K55" s="17"/>
      <c r="L55" s="24"/>
      <c r="M55" s="25"/>
      <c r="N55" s="47"/>
      <c r="O55" s="50"/>
    </row>
    <row r="56" spans="2:15" ht="39.9" customHeight="1" x14ac:dyDescent="0.15">
      <c r="B56" s="21"/>
      <c r="D56" s="29"/>
      <c r="E56" s="22"/>
      <c r="F56" s="22"/>
      <c r="G56" s="22"/>
      <c r="H56" s="27"/>
      <c r="I56" s="18"/>
      <c r="J56" s="17"/>
      <c r="K56" s="17"/>
      <c r="L56" s="24"/>
      <c r="M56" s="25"/>
      <c r="N56" s="47"/>
      <c r="O56" s="50"/>
    </row>
    <row r="57" spans="2:15" ht="39.9" customHeight="1" x14ac:dyDescent="0.15">
      <c r="B57" s="21"/>
      <c r="D57" s="29"/>
      <c r="E57" s="22"/>
      <c r="F57" s="22"/>
      <c r="G57" s="22"/>
      <c r="H57" s="27"/>
      <c r="I57" s="18"/>
      <c r="J57" s="17"/>
      <c r="K57" s="17"/>
      <c r="L57" s="24"/>
      <c r="M57" s="25"/>
      <c r="N57" s="47"/>
      <c r="O57" s="50"/>
    </row>
    <row r="58" spans="2:15" ht="39.9" customHeight="1" x14ac:dyDescent="0.15">
      <c r="B58" s="21"/>
      <c r="D58" s="29"/>
      <c r="E58" s="22"/>
      <c r="F58" s="22"/>
      <c r="G58" s="22"/>
      <c r="H58" s="27"/>
      <c r="I58" s="18"/>
      <c r="J58" s="17"/>
      <c r="K58" s="17"/>
      <c r="L58" s="24"/>
      <c r="M58" s="25"/>
      <c r="N58" s="47"/>
      <c r="O58" s="50"/>
    </row>
    <row r="59" spans="2:15" ht="39.9" customHeight="1" x14ac:dyDescent="0.15">
      <c r="B59" s="21"/>
      <c r="D59" s="29"/>
      <c r="E59" s="22"/>
      <c r="F59" s="22"/>
      <c r="G59" s="22"/>
      <c r="H59" s="27"/>
      <c r="I59" s="18"/>
      <c r="J59" s="17"/>
      <c r="K59" s="17"/>
      <c r="L59" s="24"/>
      <c r="M59" s="25"/>
      <c r="N59" s="47"/>
      <c r="O59" s="50"/>
    </row>
    <row r="60" spans="2:15" ht="39.9" customHeight="1" x14ac:dyDescent="0.15">
      <c r="B60" s="21"/>
      <c r="D60" s="29"/>
      <c r="E60" s="22"/>
      <c r="F60" s="22"/>
      <c r="G60" s="22"/>
      <c r="H60" s="27"/>
      <c r="I60" s="18"/>
      <c r="J60" s="17"/>
      <c r="K60" s="17"/>
      <c r="L60" s="24"/>
      <c r="M60" s="25"/>
      <c r="N60" s="47"/>
      <c r="O60" s="50"/>
    </row>
    <row r="61" spans="2:15" ht="39.9" customHeight="1" x14ac:dyDescent="0.15">
      <c r="B61" s="21"/>
      <c r="D61" s="29"/>
      <c r="E61" s="22"/>
      <c r="F61" s="22"/>
      <c r="G61" s="22"/>
      <c r="H61" s="27"/>
      <c r="I61" s="18"/>
      <c r="J61" s="17"/>
      <c r="K61" s="17"/>
      <c r="L61" s="24"/>
      <c r="M61" s="25"/>
      <c r="N61" s="47"/>
      <c r="O61" s="50"/>
    </row>
    <row r="62" spans="2:15" ht="39.9" customHeight="1" x14ac:dyDescent="0.15">
      <c r="B62" s="21"/>
      <c r="D62" s="29"/>
      <c r="E62" s="22"/>
      <c r="F62" s="22"/>
      <c r="G62" s="22"/>
      <c r="H62" s="27"/>
      <c r="I62" s="18"/>
      <c r="J62" s="17"/>
      <c r="K62" s="17"/>
      <c r="L62" s="24"/>
      <c r="M62" s="25"/>
      <c r="N62" s="47"/>
      <c r="O62" s="50"/>
    </row>
    <row r="63" spans="2:15" ht="39.9" customHeight="1" x14ac:dyDescent="0.15">
      <c r="B63" s="21"/>
      <c r="D63" s="29"/>
      <c r="E63" s="22"/>
      <c r="F63" s="22"/>
      <c r="G63" s="22"/>
      <c r="H63" s="27"/>
      <c r="I63" s="18"/>
      <c r="J63" s="17"/>
      <c r="K63" s="17"/>
      <c r="L63" s="24"/>
      <c r="M63" s="25"/>
      <c r="N63" s="47"/>
      <c r="O63" s="50"/>
    </row>
    <row r="64" spans="2:15" ht="39.9" customHeight="1" x14ac:dyDescent="0.15">
      <c r="B64" s="21"/>
      <c r="D64" s="29"/>
      <c r="E64" s="22"/>
      <c r="F64" s="22"/>
      <c r="G64" s="22"/>
      <c r="H64" s="27"/>
      <c r="I64" s="18"/>
      <c r="J64" s="17"/>
      <c r="K64" s="17"/>
      <c r="L64" s="24"/>
      <c r="M64" s="25"/>
      <c r="N64" s="47"/>
      <c r="O64" s="50"/>
    </row>
    <row r="65" spans="2:15" ht="39.9" customHeight="1" x14ac:dyDescent="0.15">
      <c r="B65" s="21"/>
      <c r="D65" s="21"/>
      <c r="E65" s="22"/>
      <c r="F65" s="22"/>
      <c r="G65" s="22"/>
      <c r="H65" s="27"/>
      <c r="I65" s="18"/>
      <c r="J65" s="17"/>
      <c r="K65" s="17"/>
      <c r="L65" s="24"/>
      <c r="M65" s="25"/>
      <c r="N65" s="47"/>
      <c r="O65" s="50"/>
    </row>
    <row r="66" spans="2:15" ht="39.9" customHeight="1" x14ac:dyDescent="0.15">
      <c r="B66" s="21"/>
      <c r="D66" s="21"/>
      <c r="E66" s="22"/>
      <c r="F66" s="22"/>
      <c r="G66" s="22"/>
      <c r="H66" s="27"/>
      <c r="I66" s="18"/>
      <c r="J66" s="17"/>
      <c r="K66" s="17"/>
      <c r="L66" s="24"/>
      <c r="M66" s="25"/>
      <c r="N66" s="47"/>
      <c r="O66" s="50"/>
    </row>
    <row r="67" spans="2:15" ht="39.9" customHeight="1" x14ac:dyDescent="0.15">
      <c r="B67" s="21"/>
      <c r="D67" s="21"/>
      <c r="E67" s="22"/>
      <c r="F67" s="22"/>
      <c r="G67" s="22"/>
      <c r="H67" s="27"/>
      <c r="I67" s="18"/>
      <c r="J67" s="17"/>
      <c r="K67" s="17"/>
      <c r="L67" s="24"/>
      <c r="M67" s="25"/>
      <c r="N67" s="47"/>
      <c r="O67" s="50"/>
    </row>
    <row r="68" spans="2:15" ht="39.9" customHeight="1" x14ac:dyDescent="0.15">
      <c r="B68" s="21"/>
      <c r="D68" s="21"/>
      <c r="E68" s="22"/>
      <c r="F68" s="22"/>
      <c r="G68" s="22"/>
      <c r="H68" s="27"/>
      <c r="I68" s="18"/>
      <c r="J68" s="17"/>
      <c r="K68" s="17"/>
      <c r="L68" s="24"/>
      <c r="M68" s="25"/>
      <c r="N68" s="47"/>
      <c r="O68" s="50"/>
    </row>
    <row r="69" spans="2:15" ht="39.9" customHeight="1" x14ac:dyDescent="0.15">
      <c r="B69" s="21"/>
      <c r="D69" s="21"/>
      <c r="E69" s="22"/>
      <c r="F69" s="22"/>
      <c r="G69" s="22"/>
      <c r="H69" s="27"/>
      <c r="I69" s="18"/>
      <c r="J69" s="17"/>
      <c r="K69" s="17"/>
      <c r="L69" s="24"/>
      <c r="M69" s="25"/>
      <c r="N69" s="47"/>
      <c r="O69" s="50"/>
    </row>
    <row r="70" spans="2:15" ht="39.9" customHeight="1" x14ac:dyDescent="0.15">
      <c r="B70" s="21"/>
      <c r="D70" s="21"/>
      <c r="E70" s="22"/>
      <c r="F70" s="22"/>
      <c r="G70" s="22"/>
      <c r="H70" s="27"/>
      <c r="I70" s="18"/>
      <c r="J70" s="17"/>
      <c r="K70" s="17"/>
      <c r="L70" s="24"/>
      <c r="M70" s="25"/>
      <c r="N70" s="47"/>
      <c r="O70" s="50"/>
    </row>
    <row r="71" spans="2:15" ht="39.9" customHeight="1" x14ac:dyDescent="0.15">
      <c r="B71" s="21"/>
      <c r="D71" s="21"/>
      <c r="E71" s="22"/>
      <c r="F71" s="22"/>
      <c r="G71" s="22"/>
      <c r="H71" s="27"/>
      <c r="I71" s="18"/>
      <c r="J71" s="17"/>
      <c r="K71" s="17"/>
      <c r="L71" s="24"/>
      <c r="M71" s="25"/>
      <c r="N71" s="47"/>
      <c r="O71" s="50"/>
    </row>
    <row r="72" spans="2:15" ht="39.9" customHeight="1" x14ac:dyDescent="0.15">
      <c r="B72" s="21"/>
      <c r="D72" s="21"/>
      <c r="E72" s="22"/>
      <c r="F72" s="22"/>
      <c r="G72" s="22"/>
      <c r="H72" s="27"/>
      <c r="I72" s="18"/>
      <c r="J72" s="17"/>
      <c r="K72" s="17"/>
      <c r="L72" s="24"/>
      <c r="M72" s="25"/>
      <c r="N72" s="47"/>
      <c r="O72" s="50"/>
    </row>
    <row r="73" spans="2:15" ht="39.9" customHeight="1" x14ac:dyDescent="0.15">
      <c r="B73" s="21"/>
      <c r="D73" s="21"/>
      <c r="E73" s="22"/>
      <c r="F73" s="22"/>
      <c r="G73" s="22"/>
      <c r="H73" s="27"/>
      <c r="I73" s="18"/>
      <c r="J73" s="17"/>
      <c r="K73" s="17"/>
      <c r="L73" s="24"/>
      <c r="M73" s="25"/>
      <c r="N73" s="47"/>
      <c r="O73" s="50"/>
    </row>
    <row r="74" spans="2:15" ht="39.9" customHeight="1" x14ac:dyDescent="0.15">
      <c r="B74" s="21"/>
      <c r="D74" s="21"/>
      <c r="E74" s="22"/>
      <c r="F74" s="22"/>
      <c r="G74" s="22"/>
      <c r="H74" s="27"/>
      <c r="I74" s="24"/>
      <c r="J74" s="17"/>
      <c r="K74" s="17"/>
      <c r="L74" s="24"/>
      <c r="M74" s="25"/>
      <c r="N74" s="47"/>
      <c r="O74" s="50"/>
    </row>
  </sheetData>
  <autoFilter ref="B3:O64" xr:uid="{00000000-0009-0000-0000-000000000000}"/>
  <phoneticPr fontId="4"/>
  <conditionalFormatting sqref="A4:I4">
    <cfRule type="expression" dxfId="6" priority="19" stopIfTrue="1">
      <formula>$O4="済"</formula>
    </cfRule>
  </conditionalFormatting>
  <conditionalFormatting sqref="A4:XFD45">
    <cfRule type="expression" dxfId="1" priority="2" stopIfTrue="1">
      <formula>AND(ISBLANK($L4),$I4&lt;TODAY())</formula>
    </cfRule>
  </conditionalFormatting>
  <conditionalFormatting sqref="A47:XFD74">
    <cfRule type="expression" dxfId="5" priority="10" stopIfTrue="1">
      <formula>AND(ISBLANK($L47),$I47&lt;TODAY())</formula>
    </cfRule>
  </conditionalFormatting>
  <conditionalFormatting sqref="B1">
    <cfRule type="expression" dxfId="4" priority="12" stopIfTrue="1">
      <formula>AND(ISBLANK($L1),$I1&lt;TODAY())</formula>
    </cfRule>
  </conditionalFormatting>
  <conditionalFormatting sqref="B1:IY3">
    <cfRule type="expression" dxfId="3" priority="11" stopIfTrue="1">
      <formula>$O1="済"</formula>
    </cfRule>
  </conditionalFormatting>
  <conditionalFormatting sqref="C1:IY3 B2:B3 A46:XFD46 A75:XFD65536">
    <cfRule type="expression" dxfId="2" priority="14" stopIfTrue="1">
      <formula>AND(ISBLANK($L1),$I1&lt;TODAY())</formula>
    </cfRule>
  </conditionalFormatting>
  <conditionalFormatting sqref="J4:XFD4 A5:XFD65536">
    <cfRule type="expression" dxfId="0" priority="1" stopIfTrue="1">
      <formula>$O4="済"</formula>
    </cfRule>
  </conditionalFormatting>
  <dataValidations count="1">
    <dataValidation type="list" allowBlank="1" showDropDown="1" showInputMessage="1" showErrorMessage="1" sqref="O1:O1048576" xr:uid="{00000000-0002-0000-0000-000000000000}">
      <formula1>"済"</formula1>
    </dataValidation>
  </dataValidations>
  <pageMargins left="0.19685039370078741" right="0.19685039370078741" top="0.59055118110236227" bottom="0.59055118110236227" header="0.31496062992125984" footer="0.35433070866141736"/>
  <pageSetup paperSize="9" scale="58" orientation="landscape" r:id="rId1"/>
  <headerFooter alignWithMargins="0">
    <oddHeader>&amp;L&amp;12群馬銀行様　取引履歴検索システム更改&amp;R&amp;D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74DE-EF5B-4D7D-B319-AE53D7DA0137}">
  <sheetPr codeName="Sheet2"/>
  <dimension ref="C3:L75"/>
  <sheetViews>
    <sheetView workbookViewId="0"/>
  </sheetViews>
  <sheetFormatPr defaultColWidth="9.109375" defaultRowHeight="12" x14ac:dyDescent="0.15"/>
  <cols>
    <col min="1" max="1" width="5.33203125" style="74" customWidth="1"/>
    <col min="2" max="16384" width="9.109375" style="74"/>
  </cols>
  <sheetData>
    <row r="3" spans="3:3" ht="24" customHeight="1" x14ac:dyDescent="0.15">
      <c r="C3" s="79" t="s">
        <v>39</v>
      </c>
    </row>
    <row r="4" spans="3:3" ht="24" customHeight="1" x14ac:dyDescent="0.15">
      <c r="C4" s="78" t="s">
        <v>40</v>
      </c>
    </row>
    <row r="63" spans="4:4" ht="18" customHeight="1" x14ac:dyDescent="0.15">
      <c r="D63" s="73"/>
    </row>
    <row r="64" spans="4:4" ht="18" customHeight="1" x14ac:dyDescent="0.15">
      <c r="D64" s="73"/>
    </row>
    <row r="65" spans="3:12" ht="18" customHeight="1" x14ac:dyDescent="0.15">
      <c r="C65" s="73"/>
      <c r="D65" s="73"/>
    </row>
    <row r="66" spans="3:12" ht="18" customHeight="1" x14ac:dyDescent="0.15">
      <c r="C66" s="78" t="s">
        <v>35</v>
      </c>
      <c r="D66" s="80"/>
    </row>
    <row r="67" spans="3:12" ht="18" customHeight="1" x14ac:dyDescent="0.15">
      <c r="C67" s="78" t="s">
        <v>42</v>
      </c>
      <c r="D67" s="80"/>
    </row>
    <row r="68" spans="3:12" ht="18" customHeight="1" x14ac:dyDescent="0.15">
      <c r="C68" s="80"/>
      <c r="D68" s="80"/>
    </row>
    <row r="69" spans="3:12" ht="18" customHeight="1" x14ac:dyDescent="0.15">
      <c r="C69" s="78" t="s">
        <v>36</v>
      </c>
      <c r="D69" s="78"/>
    </row>
    <row r="70" spans="3:12" ht="18" customHeight="1" x14ac:dyDescent="0.15">
      <c r="C70" s="81" t="s">
        <v>41</v>
      </c>
      <c r="D70" s="81"/>
      <c r="E70" s="75"/>
      <c r="F70" s="75"/>
      <c r="G70" s="75"/>
      <c r="H70" s="75"/>
      <c r="I70" s="75"/>
      <c r="J70" s="75"/>
      <c r="K70" s="75"/>
      <c r="L70" s="75"/>
    </row>
    <row r="71" spans="3:12" ht="18" customHeight="1" x14ac:dyDescent="0.15">
      <c r="C71" s="78"/>
      <c r="D71" s="78"/>
    </row>
    <row r="72" spans="3:12" ht="18" customHeight="1" x14ac:dyDescent="0.15">
      <c r="C72" s="78" t="s">
        <v>37</v>
      </c>
      <c r="D72" s="77"/>
    </row>
    <row r="73" spans="3:12" ht="18" customHeight="1" x14ac:dyDescent="0.15">
      <c r="C73" s="78" t="s">
        <v>38</v>
      </c>
      <c r="D73" s="77"/>
    </row>
    <row r="74" spans="3:12" ht="18" customHeight="1" x14ac:dyDescent="0.15">
      <c r="C74" s="76"/>
      <c r="D74" s="76"/>
    </row>
    <row r="75" spans="3:12" ht="14.4" x14ac:dyDescent="0.15">
      <c r="C75" s="76"/>
      <c r="D75" s="76"/>
    </row>
  </sheetData>
  <phoneticPr fontId="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QA管理表</vt:lpstr>
      <vt:lpstr>SVF動作環境</vt:lpstr>
      <vt:lpstr>QA管理表!Print_Area</vt:lpstr>
      <vt:lpstr>QA管理表!Print_Titles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yamada satoshi(山田 智 ＴＤＳＬ （ＳＬＣ）［金融Ｓ］（銀Ｓ１）)</dc:creator>
  <cp:lastModifiedBy>長岡 海帆</cp:lastModifiedBy>
  <cp:lastPrinted>2019-09-17T01:13:37Z</cp:lastPrinted>
  <dcterms:created xsi:type="dcterms:W3CDTF">2011-02-09T04:31:48Z</dcterms:created>
  <dcterms:modified xsi:type="dcterms:W3CDTF">2026-05-08T12:14:54Z</dcterms:modified>
</cp:coreProperties>
</file>